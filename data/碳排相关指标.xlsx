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1479C194-A9B8-4F1B-BFD0-931E39FFABE7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5" i="1" l="1"/>
  <c r="N89" i="1"/>
  <c r="N83" i="1"/>
  <c r="N77" i="1"/>
  <c r="N71" i="1"/>
  <c r="N65" i="1"/>
  <c r="B19" i="2"/>
  <c r="C19" i="2"/>
  <c r="D19" i="2"/>
  <c r="E19" i="2"/>
  <c r="F19" i="2"/>
  <c r="G19" i="2"/>
  <c r="H19" i="2"/>
  <c r="I19" i="2"/>
  <c r="J19" i="2"/>
  <c r="K19" i="2"/>
  <c r="A19" i="2"/>
</calcChain>
</file>

<file path=xl/sharedStrings.xml><?xml version="1.0" encoding="utf-8"?>
<sst xmlns="http://schemas.openxmlformats.org/spreadsheetml/2006/main" count="157" uniqueCount="156">
  <si>
    <t>一级指标</t>
    <phoneticPr fontId="1" type="noConversion"/>
  </si>
  <si>
    <t>二级指标</t>
    <phoneticPr fontId="1" type="noConversion"/>
  </si>
  <si>
    <t>农林消费部门的生产总值</t>
    <phoneticPr fontId="1" type="noConversion"/>
  </si>
  <si>
    <t>农林消费部门中煤炭的能源消费量</t>
    <phoneticPr fontId="1" type="noConversion"/>
  </si>
  <si>
    <t>常驻人口总量</t>
    <phoneticPr fontId="1" type="noConversion"/>
  </si>
  <si>
    <t>人口指标/万人</t>
    <phoneticPr fontId="1" type="noConversion"/>
  </si>
  <si>
    <t>经济指标/亿元</t>
    <phoneticPr fontId="1" type="noConversion"/>
  </si>
  <si>
    <t>能源供应部门的生产总值</t>
    <phoneticPr fontId="1" type="noConversion"/>
  </si>
  <si>
    <t>工业消费部门的生产总值</t>
    <phoneticPr fontId="1" type="noConversion"/>
  </si>
  <si>
    <t>交通消费部门的生产总值</t>
    <phoneticPr fontId="1" type="noConversion"/>
  </si>
  <si>
    <t>建筑消费部门的生产总值</t>
    <phoneticPr fontId="1" type="noConversion"/>
  </si>
  <si>
    <t>农林消费部门的能源消费量</t>
    <phoneticPr fontId="1" type="noConversion"/>
  </si>
  <si>
    <t>能源消费量指标（按部门）/万tce</t>
    <phoneticPr fontId="1" type="noConversion"/>
  </si>
  <si>
    <t>能源供应部门的能源消费量</t>
    <phoneticPr fontId="1" type="noConversion"/>
  </si>
  <si>
    <t>工业消费部门的能源消费量</t>
    <phoneticPr fontId="1" type="noConversion"/>
  </si>
  <si>
    <t>交通消费部门的能源消费量</t>
    <phoneticPr fontId="1" type="noConversion"/>
  </si>
  <si>
    <t>建筑消费部门的能源消费量</t>
    <phoneticPr fontId="1" type="noConversion"/>
  </si>
  <si>
    <t>居民生活消费的能源消费量</t>
    <phoneticPr fontId="1" type="noConversion"/>
  </si>
  <si>
    <t>能源消费量指标（按农林消费部门品种）/万tce</t>
    <phoneticPr fontId="1" type="noConversion"/>
  </si>
  <si>
    <t>农林消费部门中油品的能源消费量</t>
    <phoneticPr fontId="1" type="noConversion"/>
  </si>
  <si>
    <t>农林消费部门中天然气的能源消费量</t>
    <phoneticPr fontId="1" type="noConversion"/>
  </si>
  <si>
    <t>农林消费部门中热力的能源消费量</t>
    <phoneticPr fontId="1" type="noConversion"/>
  </si>
  <si>
    <t>农林消费部门中电力的能源消费量</t>
    <phoneticPr fontId="1" type="noConversion"/>
  </si>
  <si>
    <t>农林消费部门中其他能源的能源消费量</t>
    <phoneticPr fontId="1" type="noConversion"/>
  </si>
  <si>
    <t>能源消费量指标（按能源供应部门品种）/万tce</t>
    <phoneticPr fontId="1" type="noConversion"/>
  </si>
  <si>
    <t>能源供应部门中煤炭的能源消费量</t>
    <phoneticPr fontId="1" type="noConversion"/>
  </si>
  <si>
    <t>能源供应部门中油品的能源消费量</t>
    <phoneticPr fontId="1" type="noConversion"/>
  </si>
  <si>
    <t>能源供应部门中天然气的能源消费量</t>
    <phoneticPr fontId="1" type="noConversion"/>
  </si>
  <si>
    <t>能源供应部门中热力的能源消费量</t>
    <phoneticPr fontId="1" type="noConversion"/>
  </si>
  <si>
    <t>能源供应部门中电力的能源消费量</t>
    <phoneticPr fontId="1" type="noConversion"/>
  </si>
  <si>
    <t>能源供应部门中其他能源的能源消费量</t>
    <phoneticPr fontId="1" type="noConversion"/>
  </si>
  <si>
    <t>能源消费量指标（按工业消费部门品种）/万tce</t>
    <phoneticPr fontId="1" type="noConversion"/>
  </si>
  <si>
    <t>工业消费部门中煤炭的能源消费量</t>
    <phoneticPr fontId="1" type="noConversion"/>
  </si>
  <si>
    <t>工业消费部门中油品的能源消费量</t>
    <phoneticPr fontId="1" type="noConversion"/>
  </si>
  <si>
    <t>工业消费部门中天然气的能源消费量</t>
    <phoneticPr fontId="1" type="noConversion"/>
  </si>
  <si>
    <t>工业消费部门中热力的能源消费量</t>
    <phoneticPr fontId="1" type="noConversion"/>
  </si>
  <si>
    <t>工业消费部门中电力的能源消费量</t>
    <phoneticPr fontId="1" type="noConversion"/>
  </si>
  <si>
    <t>工业消费部门中其他能源的能源消费量</t>
    <phoneticPr fontId="1" type="noConversion"/>
  </si>
  <si>
    <t>能源消费量指标（按建筑消费部门品种）/万tce</t>
    <phoneticPr fontId="1" type="noConversion"/>
  </si>
  <si>
    <t>建筑消费部门中煤炭的能源消费量</t>
    <phoneticPr fontId="1" type="noConversion"/>
  </si>
  <si>
    <t>建筑消费部门中天然气的能源消费量</t>
    <phoneticPr fontId="1" type="noConversion"/>
  </si>
  <si>
    <t>建筑消费部门中热力的能源消费量</t>
    <phoneticPr fontId="1" type="noConversion"/>
  </si>
  <si>
    <t>建筑消费部门中电力的能源消费量</t>
    <phoneticPr fontId="1" type="noConversion"/>
  </si>
  <si>
    <t>建筑消费部门中其他能源的能源消费量</t>
    <phoneticPr fontId="1" type="noConversion"/>
  </si>
  <si>
    <t>能源消费量指标（按交通消费部门品种）/万tce</t>
    <phoneticPr fontId="1" type="noConversion"/>
  </si>
  <si>
    <t>交通消费部门中煤炭的能源消费量</t>
    <phoneticPr fontId="1" type="noConversion"/>
  </si>
  <si>
    <t>交通消费部门中油品的能源消费量</t>
    <phoneticPr fontId="1" type="noConversion"/>
  </si>
  <si>
    <t>交通消费部门中天然气的能源消费量</t>
    <phoneticPr fontId="1" type="noConversion"/>
  </si>
  <si>
    <t>交通消费部门中热力的能源消费量</t>
    <phoneticPr fontId="1" type="noConversion"/>
  </si>
  <si>
    <t>交通消费部门中电力的能源消费量</t>
    <phoneticPr fontId="1" type="noConversion"/>
  </si>
  <si>
    <t>交通消费部门中其他能源的能源消费量</t>
    <phoneticPr fontId="1" type="noConversion"/>
  </si>
  <si>
    <t>能源消费量指标（按居民生活消费部门品种）/万tce</t>
    <phoneticPr fontId="1" type="noConversion"/>
  </si>
  <si>
    <t>居民生活消费部门中煤炭的能源消费量</t>
    <phoneticPr fontId="1" type="noConversion"/>
  </si>
  <si>
    <t>居民生活消费部门中油品的能源消费量</t>
    <phoneticPr fontId="1" type="noConversion"/>
  </si>
  <si>
    <t>居民生活消费部门中天然气的能源消费量</t>
    <phoneticPr fontId="1" type="noConversion"/>
  </si>
  <si>
    <t>居民生活消费部门中热力的能源消费量</t>
    <phoneticPr fontId="1" type="noConversion"/>
  </si>
  <si>
    <t>居民生活消费部门中电力的能源消费量</t>
    <phoneticPr fontId="1" type="noConversion"/>
  </si>
  <si>
    <t>居民生活消费部门中其他能源的能源消费量</t>
    <phoneticPr fontId="1" type="noConversion"/>
  </si>
  <si>
    <t>农林消费部门的碳排放量</t>
    <phoneticPr fontId="1" type="noConversion"/>
  </si>
  <si>
    <t>工业消费部门的碳排放量</t>
    <phoneticPr fontId="1" type="noConversion"/>
  </si>
  <si>
    <t>交通消费部门的碳排放量</t>
    <phoneticPr fontId="1" type="noConversion"/>
  </si>
  <si>
    <t>建筑消费部门的碳排放量</t>
    <phoneticPr fontId="1" type="noConversion"/>
  </si>
  <si>
    <t>居民生活消费部门的碳排放量</t>
    <phoneticPr fontId="1" type="noConversion"/>
  </si>
  <si>
    <t>碳排放量指标（按部门）/万tCO2</t>
    <phoneticPr fontId="1" type="noConversion"/>
  </si>
  <si>
    <t>碳排放因子指标（按农林消费部门品种）万tCO2/万tce</t>
    <phoneticPr fontId="1" type="noConversion"/>
  </si>
  <si>
    <t>碳排放因子指标（按工业消费部门品种）万tCO2/万tce</t>
    <phoneticPr fontId="1" type="noConversion"/>
  </si>
  <si>
    <t>碳排放因子指标（按交通消费部门品种）万tCO2/万tce</t>
    <phoneticPr fontId="1" type="noConversion"/>
  </si>
  <si>
    <t>碳排放因子指标（按建筑消费部门品种）万tCO2/万tce</t>
    <phoneticPr fontId="1" type="noConversion"/>
  </si>
  <si>
    <t>碳排放因子指标（按居民生活消费部门品种）万tCO2/万tce</t>
    <phoneticPr fontId="1" type="noConversion"/>
  </si>
  <si>
    <t>农林消费部门中煤炭的碳排放因子</t>
    <phoneticPr fontId="1" type="noConversion"/>
  </si>
  <si>
    <t>农林消费部门中油品的碳排放因子</t>
    <phoneticPr fontId="1" type="noConversion"/>
  </si>
  <si>
    <t>农林消费部门中天然气的碳排放因子</t>
    <phoneticPr fontId="1" type="noConversion"/>
  </si>
  <si>
    <t>农林消费部门中热力的碳排放因子</t>
    <phoneticPr fontId="1" type="noConversion"/>
  </si>
  <si>
    <t>农林消费部门中电力的碳排放因子</t>
    <phoneticPr fontId="1" type="noConversion"/>
  </si>
  <si>
    <t>农林消费部门中其他能源的碳排放因子</t>
    <phoneticPr fontId="1" type="noConversion"/>
  </si>
  <si>
    <t>工业消费部门中煤炭的碳排放因子</t>
    <phoneticPr fontId="1" type="noConversion"/>
  </si>
  <si>
    <t>工业消费部门中油品的碳排放因子</t>
    <phoneticPr fontId="1" type="noConversion"/>
  </si>
  <si>
    <t>工业消费部门中天然气的碳排放因子</t>
    <phoneticPr fontId="1" type="noConversion"/>
  </si>
  <si>
    <t>工业消费部门中热力的碳排放因子</t>
    <phoneticPr fontId="1" type="noConversion"/>
  </si>
  <si>
    <t>工业消费部门中电力的碳排放因子</t>
    <phoneticPr fontId="1" type="noConversion"/>
  </si>
  <si>
    <t>工业消费部门中其他能源的碳排放因子</t>
    <phoneticPr fontId="1" type="noConversion"/>
  </si>
  <si>
    <t>交通消费部门中煤炭的碳排放因子</t>
    <phoneticPr fontId="1" type="noConversion"/>
  </si>
  <si>
    <t>交通消费部门中油品的碳排放因子</t>
    <phoneticPr fontId="1" type="noConversion"/>
  </si>
  <si>
    <t>交通消费部门中天然气的碳排放因子</t>
    <phoneticPr fontId="1" type="noConversion"/>
  </si>
  <si>
    <t>交通消费部门中热力的碳排放因子</t>
    <phoneticPr fontId="1" type="noConversion"/>
  </si>
  <si>
    <t>交通消费部门中电力的碳排放因子</t>
    <phoneticPr fontId="1" type="noConversion"/>
  </si>
  <si>
    <t>交通消费部门中其他能源的碳排放因子</t>
    <phoneticPr fontId="1" type="noConversion"/>
  </si>
  <si>
    <t>建筑消费部门中煤炭的碳排放因子</t>
    <phoneticPr fontId="1" type="noConversion"/>
  </si>
  <si>
    <t>建筑消费部门中油品的碳排放因子</t>
    <phoneticPr fontId="1" type="noConversion"/>
  </si>
  <si>
    <t>建筑消费部门中天然气的碳排放因子</t>
    <phoneticPr fontId="1" type="noConversion"/>
  </si>
  <si>
    <t>建筑消费部门中热力的碳排放因子</t>
    <phoneticPr fontId="1" type="noConversion"/>
  </si>
  <si>
    <t>建筑消费部门中电力的碳排放因子</t>
    <phoneticPr fontId="1" type="noConversion"/>
  </si>
  <si>
    <t>建筑消费部门中其他能源的碳排放因子</t>
    <phoneticPr fontId="1" type="noConversion"/>
  </si>
  <si>
    <t>居民生活消费部门中煤炭的碳排放因子</t>
    <phoneticPr fontId="1" type="noConversion"/>
  </si>
  <si>
    <t>居民生活消费部门中油品的碳排放因子</t>
    <phoneticPr fontId="1" type="noConversion"/>
  </si>
  <si>
    <t>居民生活消费部门中天然气的碳排放因子</t>
    <phoneticPr fontId="1" type="noConversion"/>
  </si>
  <si>
    <t>居民生活消费部门中热力的碳排放因子</t>
    <phoneticPr fontId="1" type="noConversion"/>
  </si>
  <si>
    <t>居民生活消费部门中电力的碳排放因子</t>
    <phoneticPr fontId="1" type="noConversion"/>
  </si>
  <si>
    <t>居民生活消费部门中其他能源的碳排放因子</t>
    <phoneticPr fontId="1" type="noConversion"/>
  </si>
  <si>
    <t>能源供应部门中煤炭发电的能源消费量</t>
    <phoneticPr fontId="1" type="noConversion"/>
  </si>
  <si>
    <t>能源供应部门中煤炭供热的能源消费量</t>
    <phoneticPr fontId="1" type="noConversion"/>
  </si>
  <si>
    <t>能源供应部门中煤炭其他转换的能源消费量</t>
    <phoneticPr fontId="1" type="noConversion"/>
  </si>
  <si>
    <t>能源供应部门中煤炭损失的能源消费量</t>
    <phoneticPr fontId="1" type="noConversion"/>
  </si>
  <si>
    <t>能源供应部门中油品发电的能源消费量</t>
    <phoneticPr fontId="1" type="noConversion"/>
  </si>
  <si>
    <t>能源供应部门中油品供热的能源消费量</t>
    <phoneticPr fontId="1" type="noConversion"/>
  </si>
  <si>
    <t>能源供应部门中油品其他转换的能源消费量</t>
    <phoneticPr fontId="1" type="noConversion"/>
  </si>
  <si>
    <t>能源供应部门中油品损失的能源消费量</t>
    <phoneticPr fontId="1" type="noConversion"/>
  </si>
  <si>
    <t>能源供应部门中天然气发电的能源消费量</t>
    <phoneticPr fontId="1" type="noConversion"/>
  </si>
  <si>
    <t>能源供应部门中天然气供热的能源消费量</t>
    <phoneticPr fontId="1" type="noConversion"/>
  </si>
  <si>
    <t>能源供应部门中天然气其他转换的能源消费量</t>
    <phoneticPr fontId="1" type="noConversion"/>
  </si>
  <si>
    <t>能源供应部门中天然气损失的能源消费量</t>
    <phoneticPr fontId="1" type="noConversion"/>
  </si>
  <si>
    <t>能源消费量指标（按能源供应部门品种用途）/万tce</t>
    <phoneticPr fontId="1" type="noConversion"/>
  </si>
  <si>
    <t>能源供应部门中外地调入电的能源消费量</t>
    <phoneticPr fontId="1" type="noConversion"/>
  </si>
  <si>
    <t>碳排放因子指标（按能源供应部门品种用途）万tCO2/万tce</t>
    <phoneticPr fontId="1" type="noConversion"/>
  </si>
  <si>
    <t>能源供应部门中煤炭发电的碳排放因子</t>
    <phoneticPr fontId="1" type="noConversion"/>
  </si>
  <si>
    <t>能源供应部门中煤炭供热的碳排放因子</t>
    <phoneticPr fontId="1" type="noConversion"/>
  </si>
  <si>
    <t>能源供应部门中煤炭其他转换的碳排放因子</t>
    <phoneticPr fontId="1" type="noConversion"/>
  </si>
  <si>
    <t>能源供应部门中煤炭损失的碳排放因子</t>
    <phoneticPr fontId="1" type="noConversion"/>
  </si>
  <si>
    <t>能源供应部门中油品发电的碳排放因子</t>
    <phoneticPr fontId="1" type="noConversion"/>
  </si>
  <si>
    <t>能源供应部门中油品供热的碳排放因子</t>
    <phoneticPr fontId="1" type="noConversion"/>
  </si>
  <si>
    <t>能源供应部门中油品其他转换的碳排放因子</t>
    <phoneticPr fontId="1" type="noConversion"/>
  </si>
  <si>
    <t>能源供应部门中油品损失的碳排放因子</t>
    <phoneticPr fontId="1" type="noConversion"/>
  </si>
  <si>
    <t>能源供应部门中天然气发电的碳排放因子</t>
    <phoneticPr fontId="1" type="noConversion"/>
  </si>
  <si>
    <t>能源供应部门中天然气供热的碳排放因子</t>
    <phoneticPr fontId="1" type="noConversion"/>
  </si>
  <si>
    <t>能源供应部门中天然气其他转换的碳排放因子</t>
    <phoneticPr fontId="1" type="noConversion"/>
  </si>
  <si>
    <t>能源供应部门中天然气损失的碳排放因子</t>
    <phoneticPr fontId="1" type="noConversion"/>
  </si>
  <si>
    <t>能源供应部门中电力的碳排放因子</t>
    <phoneticPr fontId="1" type="noConversion"/>
  </si>
  <si>
    <t>能源供应部门中其他能源的碳排放因子</t>
    <phoneticPr fontId="1" type="noConversion"/>
  </si>
  <si>
    <t>能源供应部门中外地调入电的碳排放因子</t>
    <phoneticPr fontId="1" type="noConversion"/>
  </si>
  <si>
    <t>能源供应部门的碳排放量</t>
    <phoneticPr fontId="1" type="noConversion"/>
  </si>
  <si>
    <t>碳排放量指标（按能源供应部门品种用途）</t>
    <phoneticPr fontId="1" type="noConversion"/>
  </si>
  <si>
    <t>能源供应部门中煤炭发电的碳排放量</t>
    <phoneticPr fontId="1" type="noConversion"/>
  </si>
  <si>
    <t>能源供应部门中煤炭供热的碳排放量</t>
    <phoneticPr fontId="1" type="noConversion"/>
  </si>
  <si>
    <t>能源供应部门中煤炭其他转换的碳排放量</t>
    <phoneticPr fontId="1" type="noConversion"/>
  </si>
  <si>
    <t>能源供应部门中煤炭损失的碳排放量</t>
    <phoneticPr fontId="1" type="noConversion"/>
  </si>
  <si>
    <t>能源供应部门中油品发电的碳排放量</t>
    <phoneticPr fontId="1" type="noConversion"/>
  </si>
  <si>
    <t>能源供应部门中油品供热的碳排放量</t>
    <phoneticPr fontId="1" type="noConversion"/>
  </si>
  <si>
    <t>能源供应部门中油品其他转换的碳排放量</t>
    <phoneticPr fontId="1" type="noConversion"/>
  </si>
  <si>
    <t>能源供应部门中油品损失的碳排放量</t>
    <phoneticPr fontId="1" type="noConversion"/>
  </si>
  <si>
    <t>能源供应部门中天然气发电的碳排放量</t>
    <phoneticPr fontId="1" type="noConversion"/>
  </si>
  <si>
    <t>能源供应部门中天然气供热的碳排放量</t>
    <phoneticPr fontId="1" type="noConversion"/>
  </si>
  <si>
    <t>能源供应部门中天然气其他转换的碳排放量</t>
    <phoneticPr fontId="1" type="noConversion"/>
  </si>
  <si>
    <t>能源供应部门中天然气损失的碳排放量</t>
    <phoneticPr fontId="1" type="noConversion"/>
  </si>
  <si>
    <t>能源供应部门中其他能源的碳排放量</t>
    <phoneticPr fontId="1" type="noConversion"/>
  </si>
  <si>
    <t>能源供应部门中外地调入电的碳排放量</t>
    <phoneticPr fontId="1" type="noConversion"/>
  </si>
  <si>
    <t>能源供应部门中新能源电力的碳排放量</t>
    <phoneticPr fontId="1" type="noConversion"/>
  </si>
  <si>
    <t>能源供应部门中新能源电力的能源消费量</t>
    <phoneticPr fontId="1" type="noConversion"/>
  </si>
  <si>
    <t>能源消费量指标（按品种）</t>
    <phoneticPr fontId="1" type="noConversion"/>
  </si>
  <si>
    <t>煤炭的能源消费量</t>
    <phoneticPr fontId="1" type="noConversion"/>
  </si>
  <si>
    <t>油品的能源消费量</t>
    <phoneticPr fontId="1" type="noConversion"/>
  </si>
  <si>
    <t>天然气的能源消费量</t>
    <phoneticPr fontId="1" type="noConversion"/>
  </si>
  <si>
    <t>新能源热力的能源消费量</t>
    <phoneticPr fontId="1" type="noConversion"/>
  </si>
  <si>
    <t>新能源电力的能源消费量</t>
    <phoneticPr fontId="1" type="noConversion"/>
  </si>
  <si>
    <t>外地调入电的能源消费量</t>
    <phoneticPr fontId="1" type="noConversion"/>
  </si>
  <si>
    <t>其他新能源的能源消费量</t>
    <phoneticPr fontId="1" type="noConversion"/>
  </si>
  <si>
    <t>建筑消费部门中油品的能源消费量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</si>
</sst>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7" formatCode="0.000000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76" fontId="0" fillId="0" borderId="0" xfId="0" applyNumberFormat="1"/>
    <xf numFmtId="2" fontId="2" fillId="0" borderId="0" xfId="0" applyNumberFormat="1" applyFont="1" applyAlignment="1">
      <alignment horizontal="right" vertical="center"/>
    </xf>
    <xf numFmtId="0" fontId="0" fillId="7" borderId="0" xfId="0" applyFill="1"/>
    <xf numFmtId="0" fontId="0" fillId="8" borderId="0" xfId="0" applyFill="1"/>
    <xf numFmtId="177" fontId="0" fillId="8" borderId="0" xfId="0" applyNumberFormat="1" applyFill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Sheet2!$A$20:$K$20</c:f>
              <c:numCache>
                <c:formatCode>General</c:formatCode>
                <c:ptCount val="11"/>
                <c:pt idx="0">
                  <c:v>41383.869999999995</c:v>
                </c:pt>
                <c:pt idx="1">
                  <c:v>45952.65</c:v>
                </c:pt>
                <c:pt idx="2">
                  <c:v>50660.2</c:v>
                </c:pt>
                <c:pt idx="3">
                  <c:v>55580.109999999993</c:v>
                </c:pt>
                <c:pt idx="4">
                  <c:v>60359.43</c:v>
                </c:pt>
                <c:pt idx="5">
                  <c:v>65552</c:v>
                </c:pt>
                <c:pt idx="6">
                  <c:v>70665.706828891314</c:v>
                </c:pt>
                <c:pt idx="7">
                  <c:v>75752.201492282824</c:v>
                </c:pt>
                <c:pt idx="8">
                  <c:v>80827.711934711959</c:v>
                </c:pt>
                <c:pt idx="9">
                  <c:v>85556.133874050895</c:v>
                </c:pt>
                <c:pt idx="10">
                  <c:v>88683.214628733374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4-4A3B-BEFE-63A4318FC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195120"/>
        <c:axId val="177543696"/>
      </c:scatterChart>
      <c:valAx>
        <c:axId val="136819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543696"/>
        <c:crosses val="autoZero"/>
        <c:crossBetween val="midCat"/>
      </c:valAx>
      <c:valAx>
        <c:axId val="1775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819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604630</xdr:colOff>
      <xdr:row>17</xdr:row>
      <xdr:rowOff>157922</xdr:rowOff>
    </xdr:from>
    <xdr:to>
      <xdr:col>16</xdr:col>
      <xdr:colOff>267804</xdr:colOff>
      <xdr:row>33</xdr:row>
      <xdr:rowOff>73991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B6A79F55-76D6-8312-31E5-31467BBDB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topLeftCell="A60" zoomScale="130" zoomScaleNormal="130" workbookViewId="0">
      <selection activeCell="G71" sqref="G71"/>
    </sheetView>
  </sheetViews>
  <sheetFormatPr defaultRowHeight="14.15" x14ac:dyDescent="0.35"/>
  <cols>
    <col min="1" max="1" width="46.35546875" customWidth="1"/>
    <col min="2" max="2" width="37.28515625" customWidth="1"/>
    <col min="3" max="9" width="9.28515625" bestFit="1" customWidth="1"/>
    <col min="10" max="13" width="10.0703125" bestFit="1" customWidth="1"/>
    <col min="14" max="14" width="15.42578125" bestFit="1" customWidth="1"/>
  </cols>
  <sheetData>
    <row r="1" spans="1:13" x14ac:dyDescent="0.35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</row>
    <row r="2" spans="1:13" x14ac:dyDescent="0.35">
      <c r="A2" s="2" t="s">
        <v>5</v>
      </c>
      <c r="B2" t="s">
        <v>4</v>
      </c>
      <c r="C2" s="7">
        <v>7869.34</v>
      </c>
      <c r="D2" s="7">
        <v>8022.99</v>
      </c>
      <c r="E2" s="7">
        <v>8119.81</v>
      </c>
      <c r="F2" s="7">
        <v>8192.44</v>
      </c>
      <c r="G2" s="7">
        <v>8281.09</v>
      </c>
      <c r="H2" s="7">
        <v>8315.11</v>
      </c>
      <c r="I2" s="7">
        <v>8381.4699999999993</v>
      </c>
      <c r="J2" s="7">
        <v>8423.5</v>
      </c>
      <c r="K2" s="7">
        <v>8446.19</v>
      </c>
      <c r="L2" s="7">
        <v>8469.09</v>
      </c>
      <c r="M2" s="7">
        <v>8477.26</v>
      </c>
    </row>
    <row r="3" spans="1:13" x14ac:dyDescent="0.35">
      <c r="A3" s="4" t="s">
        <v>6</v>
      </c>
      <c r="B3" t="s">
        <v>2</v>
      </c>
      <c r="C3" s="7">
        <v>2409.2399999999998</v>
      </c>
      <c r="D3" s="7">
        <v>2736.8614125208005</v>
      </c>
      <c r="E3" s="7">
        <v>3057.8233605800315</v>
      </c>
      <c r="F3" s="7">
        <v>3228.5388081178899</v>
      </c>
      <c r="G3" s="7">
        <v>3358.6132174804734</v>
      </c>
      <c r="H3" s="7">
        <v>3636.0807225447766</v>
      </c>
      <c r="I3" s="7">
        <v>3690.6095946200162</v>
      </c>
      <c r="J3" s="7">
        <v>3568.5411882893677</v>
      </c>
      <c r="K3" s="7">
        <v>3591.607576823078</v>
      </c>
      <c r="L3" s="7">
        <v>3726.6074532802345</v>
      </c>
      <c r="M3" s="7">
        <v>3916.8118050867261</v>
      </c>
    </row>
    <row r="4" spans="1:13" x14ac:dyDescent="0.35">
      <c r="A4" s="4"/>
      <c r="B4" t="s">
        <v>7</v>
      </c>
      <c r="C4" s="7">
        <v>904.64591326716584</v>
      </c>
      <c r="D4" s="7">
        <v>947.43086678208431</v>
      </c>
      <c r="E4" s="7">
        <v>1121.1452841695886</v>
      </c>
      <c r="F4" s="7">
        <v>1065.4463329487814</v>
      </c>
      <c r="G4" s="7">
        <v>1149.8180915741766</v>
      </c>
      <c r="H4" s="7">
        <v>1357.6276321142677</v>
      </c>
      <c r="I4" s="7">
        <v>1417.9030175713965</v>
      </c>
      <c r="J4" s="7">
        <v>1526.9840992805512</v>
      </c>
      <c r="K4" s="7">
        <v>1604.5602737872225</v>
      </c>
      <c r="L4" s="7">
        <v>1692.6975970583808</v>
      </c>
      <c r="M4" s="7">
        <v>1660.679968048458</v>
      </c>
    </row>
    <row r="5" spans="1:13" x14ac:dyDescent="0.35">
      <c r="A5" s="4"/>
      <c r="B5" t="s">
        <v>8</v>
      </c>
      <c r="C5" s="7">
        <v>20948.954086732832</v>
      </c>
      <c r="D5" s="7">
        <v>22792.530574168741</v>
      </c>
      <c r="E5" s="7">
        <v>24491.764368781365</v>
      </c>
      <c r="F5" s="7">
        <v>26232.684685307337</v>
      </c>
      <c r="G5" s="7">
        <v>27757.717643702319</v>
      </c>
      <c r="H5" s="7">
        <v>29342.782383445137</v>
      </c>
      <c r="I5" s="7">
        <v>30595.119280383955</v>
      </c>
      <c r="J5" s="7">
        <v>32987.348582285544</v>
      </c>
      <c r="K5" s="7">
        <v>34929.181706888121</v>
      </c>
      <c r="L5" s="7">
        <v>36037.446768118658</v>
      </c>
      <c r="M5" s="7">
        <v>36522.545604797502</v>
      </c>
    </row>
    <row r="6" spans="1:13" x14ac:dyDescent="0.35">
      <c r="A6" s="4"/>
      <c r="B6" t="s">
        <v>9</v>
      </c>
      <c r="C6" s="7">
        <v>1767.2244526295203</v>
      </c>
      <c r="D6" s="7">
        <v>1988.4262206316955</v>
      </c>
      <c r="E6" s="7">
        <v>2199.509572632076</v>
      </c>
      <c r="F6" s="7">
        <v>2233.9371146267172</v>
      </c>
      <c r="G6" s="7">
        <v>2378.9254391352206</v>
      </c>
      <c r="H6" s="7">
        <v>2240.3946966940161</v>
      </c>
      <c r="I6" s="7">
        <v>2316.4302171744971</v>
      </c>
      <c r="J6" s="7">
        <v>2420.1691852398749</v>
      </c>
      <c r="K6" s="7">
        <v>2570.6767052280575</v>
      </c>
      <c r="L6" s="7">
        <v>2749.0802061606855</v>
      </c>
      <c r="M6" s="7">
        <v>2761.5106468268996</v>
      </c>
    </row>
    <row r="7" spans="1:13" x14ac:dyDescent="0.35">
      <c r="A7" s="4"/>
      <c r="B7" t="s">
        <v>10</v>
      </c>
      <c r="C7" s="7">
        <v>15353.805547370479</v>
      </c>
      <c r="D7" s="7">
        <v>17487.40092589668</v>
      </c>
      <c r="E7" s="7">
        <v>19789.957413836935</v>
      </c>
      <c r="F7" s="7">
        <v>22819.503058999268</v>
      </c>
      <c r="G7" s="7">
        <v>25714.355608107813</v>
      </c>
      <c r="H7" s="7">
        <v>28975.114565201806</v>
      </c>
      <c r="I7" s="7">
        <v>32645.644719141445</v>
      </c>
      <c r="J7" s="7">
        <v>35249.158437187485</v>
      </c>
      <c r="K7" s="7">
        <v>38131.685671985484</v>
      </c>
      <c r="L7" s="7">
        <v>41350.301849432944</v>
      </c>
      <c r="M7" s="7">
        <v>43821.66660397379</v>
      </c>
    </row>
    <row r="8" spans="1:13" x14ac:dyDescent="0.35">
      <c r="A8" s="5" t="s">
        <v>12</v>
      </c>
      <c r="B8" t="s">
        <v>11</v>
      </c>
      <c r="C8" s="7">
        <v>345.35580725354566</v>
      </c>
      <c r="D8" s="7">
        <v>393.86702668881486</v>
      </c>
      <c r="E8" s="7">
        <v>448.94869515268749</v>
      </c>
      <c r="F8" s="7">
        <v>362.17627863487695</v>
      </c>
      <c r="G8" s="7">
        <v>383.72370457731404</v>
      </c>
      <c r="H8" s="7">
        <v>429.3739020744315</v>
      </c>
      <c r="I8" s="7">
        <v>433.46215129322638</v>
      </c>
      <c r="J8" s="7">
        <v>440.48634995125246</v>
      </c>
      <c r="K8" s="7">
        <v>457.99466349383721</v>
      </c>
      <c r="L8" s="7">
        <v>438.57612225107914</v>
      </c>
      <c r="M8" s="7">
        <v>423.7818192603138</v>
      </c>
    </row>
    <row r="9" spans="1:13" x14ac:dyDescent="0.35">
      <c r="A9" s="5"/>
      <c r="B9" t="s">
        <v>14</v>
      </c>
      <c r="C9" s="7">
        <v>14312.67920329506</v>
      </c>
      <c r="D9" s="7">
        <v>15171.856589122488</v>
      </c>
      <c r="E9" s="7">
        <v>15494.592242973116</v>
      </c>
      <c r="F9" s="7">
        <v>16347.80930080186</v>
      </c>
      <c r="G9" s="7">
        <v>17018.528789978176</v>
      </c>
      <c r="H9" s="7">
        <v>17242.189999593076</v>
      </c>
      <c r="I9" s="7">
        <v>17724.552643000541</v>
      </c>
      <c r="J9" s="7">
        <v>17832.320174584351</v>
      </c>
      <c r="K9" s="7">
        <v>18123.659011436688</v>
      </c>
      <c r="L9" s="7">
        <v>19109.552360592097</v>
      </c>
      <c r="M9" s="7">
        <v>18872.743299615311</v>
      </c>
    </row>
    <row r="10" spans="1:13" x14ac:dyDescent="0.35">
      <c r="A10" s="5"/>
      <c r="B10" t="s">
        <v>15</v>
      </c>
      <c r="C10" s="7">
        <v>1398.2619776707902</v>
      </c>
      <c r="D10" s="7">
        <v>1494.7386706473028</v>
      </c>
      <c r="E10" s="7">
        <v>1618.1528544003061</v>
      </c>
      <c r="F10" s="7">
        <v>1743.6709983974667</v>
      </c>
      <c r="G10" s="7">
        <v>1915.875700124185</v>
      </c>
      <c r="H10" s="7">
        <v>2019.2855197624563</v>
      </c>
      <c r="I10" s="7">
        <v>2083.5908407890665</v>
      </c>
      <c r="J10" s="7">
        <v>2187.957482163089</v>
      </c>
      <c r="K10" s="7">
        <v>2324.6533110541336</v>
      </c>
      <c r="L10" s="7">
        <v>2482.9250537750127</v>
      </c>
      <c r="M10" s="7">
        <v>2484.4650329971887</v>
      </c>
    </row>
    <row r="11" spans="1:13" x14ac:dyDescent="0.35">
      <c r="A11" s="5"/>
      <c r="B11" t="s">
        <v>16</v>
      </c>
      <c r="C11" s="7">
        <v>534.57883706318432</v>
      </c>
      <c r="D11" s="7">
        <v>620.82533108930807</v>
      </c>
      <c r="E11" s="7">
        <v>690.81110945389469</v>
      </c>
      <c r="F11" s="7">
        <v>738.21338234729274</v>
      </c>
      <c r="G11" s="7">
        <v>728.32108207477063</v>
      </c>
      <c r="H11" s="7">
        <v>756.82509986668583</v>
      </c>
      <c r="I11" s="7">
        <v>794.94297772032633</v>
      </c>
      <c r="J11" s="7">
        <v>861.24391381495172</v>
      </c>
      <c r="K11" s="7">
        <v>976.13626262380842</v>
      </c>
      <c r="L11" s="7">
        <v>1039.4597175275235</v>
      </c>
      <c r="M11" s="7">
        <v>1023.1530535890747</v>
      </c>
    </row>
    <row r="12" spans="1:13" x14ac:dyDescent="0.35">
      <c r="A12" s="5"/>
      <c r="B12" t="s">
        <v>17</v>
      </c>
      <c r="C12" s="7">
        <v>1148.0456258101444</v>
      </c>
      <c r="D12" s="7">
        <v>1205.1268300005045</v>
      </c>
      <c r="E12" s="7">
        <v>1372.088109172749</v>
      </c>
      <c r="F12" s="7">
        <v>1469.9069836084582</v>
      </c>
      <c r="G12" s="7">
        <v>1472.4517919903642</v>
      </c>
      <c r="H12" s="7">
        <v>1566.1608653780195</v>
      </c>
      <c r="I12" s="7">
        <v>1706.3058820709721</v>
      </c>
      <c r="J12" s="7">
        <v>1862.6428585948934</v>
      </c>
      <c r="K12" s="7">
        <v>2033.6869032323432</v>
      </c>
      <c r="L12" s="7">
        <v>2070.4276853448173</v>
      </c>
      <c r="M12" s="7">
        <v>2180.6045862181545</v>
      </c>
    </row>
    <row r="13" spans="1:13" x14ac:dyDescent="0.35">
      <c r="A13" s="5"/>
      <c r="B13" t="s">
        <v>13</v>
      </c>
      <c r="C13" s="7">
        <v>5800.3929802067323</v>
      </c>
      <c r="D13" s="7">
        <v>7973.6113641139518</v>
      </c>
      <c r="E13" s="7">
        <v>8374.6250973099832</v>
      </c>
      <c r="F13" s="7">
        <v>7541.3273310967588</v>
      </c>
      <c r="G13" s="7">
        <v>6651.6046959323021</v>
      </c>
      <c r="H13" s="7">
        <v>7019.7726817074108</v>
      </c>
      <c r="I13" s="7">
        <v>7205.1221233393553</v>
      </c>
      <c r="J13" s="7">
        <v>7485.2356776269316</v>
      </c>
      <c r="K13" s="7">
        <v>7456.9964973027309</v>
      </c>
      <c r="L13" s="7">
        <v>7086.5644458829984</v>
      </c>
      <c r="M13" s="7">
        <v>6453.2497627680605</v>
      </c>
    </row>
    <row r="14" spans="1:13" x14ac:dyDescent="0.35">
      <c r="A14" s="8" t="s">
        <v>18</v>
      </c>
      <c r="B14" t="s">
        <v>3</v>
      </c>
      <c r="C14" s="7">
        <v>36.186438000000003</v>
      </c>
      <c r="D14" s="7">
        <v>40.243662000000008</v>
      </c>
      <c r="E14" s="7">
        <v>38.722203</v>
      </c>
      <c r="F14" s="7">
        <v>36.650733000000002</v>
      </c>
      <c r="G14" s="7">
        <v>36.179295000000003</v>
      </c>
      <c r="H14" s="7">
        <v>36.050721000000003</v>
      </c>
      <c r="I14" s="7">
        <v>35.022129</v>
      </c>
      <c r="J14" s="7">
        <v>34.636407000000005</v>
      </c>
      <c r="K14" s="7">
        <v>33.664959000000003</v>
      </c>
      <c r="L14" s="7">
        <v>32.379218999999999</v>
      </c>
      <c r="M14" s="7">
        <v>31.757778000000002</v>
      </c>
    </row>
    <row r="15" spans="1:13" x14ac:dyDescent="0.35">
      <c r="A15" s="8"/>
      <c r="B15" t="s">
        <v>19</v>
      </c>
      <c r="C15" s="7">
        <v>274.31493265503207</v>
      </c>
      <c r="D15" s="7">
        <v>313.05407864802027</v>
      </c>
      <c r="E15" s="7">
        <v>363.57365670559386</v>
      </c>
      <c r="F15" s="7">
        <v>272.18695084025461</v>
      </c>
      <c r="G15" s="7">
        <v>290.24843516889712</v>
      </c>
      <c r="H15" s="7">
        <v>328.78839737245869</v>
      </c>
      <c r="I15" s="7">
        <v>322.40179971388801</v>
      </c>
      <c r="J15" s="7">
        <v>323.77733096081744</v>
      </c>
      <c r="K15" s="7">
        <v>335.866293127088</v>
      </c>
      <c r="L15" s="7">
        <v>312.0309324408496</v>
      </c>
      <c r="M15" s="7">
        <v>293.32306089266126</v>
      </c>
    </row>
    <row r="16" spans="1:13" x14ac:dyDescent="0.35">
      <c r="A16" s="8"/>
      <c r="B1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5">
      <c r="A17" s="8"/>
      <c r="B17" t="s">
        <v>21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</row>
    <row r="18" spans="1:13" x14ac:dyDescent="0.35">
      <c r="A18" s="8"/>
      <c r="B18" t="s">
        <v>22</v>
      </c>
      <c r="C18" s="7">
        <v>34.85443659851358</v>
      </c>
      <c r="D18" s="7">
        <v>40.569286040794545</v>
      </c>
      <c r="E18" s="7">
        <v>46.652835447093636</v>
      </c>
      <c r="F18" s="7">
        <v>53.338594794622331</v>
      </c>
      <c r="G18" s="7">
        <v>57.295974408416896</v>
      </c>
      <c r="H18" s="7">
        <v>64.534783701972785</v>
      </c>
      <c r="I18" s="7">
        <v>76.038222579338338</v>
      </c>
      <c r="J18" s="7">
        <v>82.072611990435021</v>
      </c>
      <c r="K18" s="7">
        <v>88.463411366749213</v>
      </c>
      <c r="L18" s="7">
        <v>94.165970810229581</v>
      </c>
      <c r="M18" s="7">
        <v>98.700980367652534</v>
      </c>
    </row>
    <row r="19" spans="1:13" x14ac:dyDescent="0.35">
      <c r="A19" s="8"/>
      <c r="B19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 x14ac:dyDescent="0.35">
      <c r="A20" s="8" t="s">
        <v>31</v>
      </c>
      <c r="B20" t="s">
        <v>32</v>
      </c>
      <c r="C20" s="7">
        <v>7335.5047179594785</v>
      </c>
      <c r="D20" s="7">
        <v>7818.715230874418</v>
      </c>
      <c r="E20" s="7">
        <v>7510.4504871160334</v>
      </c>
      <c r="F20" s="7">
        <v>7956.9679957108992</v>
      </c>
      <c r="G20" s="7">
        <v>8358.1233648190882</v>
      </c>
      <c r="H20" s="7">
        <v>8383.9459641102221</v>
      </c>
      <c r="I20" s="7">
        <v>8417.7635545341782</v>
      </c>
      <c r="J20" s="7">
        <v>8262.6257521654989</v>
      </c>
      <c r="K20" s="7">
        <v>7931.3405770294694</v>
      </c>
      <c r="L20" s="7">
        <v>8829.8078767692477</v>
      </c>
      <c r="M20" s="7">
        <v>8291.344580230485</v>
      </c>
    </row>
    <row r="21" spans="1:13" x14ac:dyDescent="0.35">
      <c r="A21" s="8"/>
      <c r="B21" t="s">
        <v>33</v>
      </c>
      <c r="C21" s="7">
        <v>1401.8625153117111</v>
      </c>
      <c r="D21" s="7">
        <v>1256.5227339727578</v>
      </c>
      <c r="E21" s="7">
        <v>1435.9011021797387</v>
      </c>
      <c r="F21" s="7">
        <v>1337.2512160850533</v>
      </c>
      <c r="G21" s="7">
        <v>1436.4277740323332</v>
      </c>
      <c r="H21" s="7">
        <v>1440.5688710842928</v>
      </c>
      <c r="I21" s="7">
        <v>1512.3764029905053</v>
      </c>
      <c r="J21" s="7">
        <v>1350.399403409255</v>
      </c>
      <c r="K21" s="7">
        <v>1351.6604084446365</v>
      </c>
      <c r="L21" s="7">
        <v>1290.0555089555362</v>
      </c>
      <c r="M21" s="7">
        <v>1225.6545993129005</v>
      </c>
    </row>
    <row r="22" spans="1:13" x14ac:dyDescent="0.35">
      <c r="A22" s="8"/>
      <c r="B22" t="s">
        <v>34</v>
      </c>
      <c r="C22" s="7">
        <v>444.08195200000006</v>
      </c>
      <c r="D22" s="7">
        <v>520.76508000000001</v>
      </c>
      <c r="E22" s="7">
        <v>677.50757999999996</v>
      </c>
      <c r="F22" s="7">
        <v>769.11185599999999</v>
      </c>
      <c r="G22" s="7">
        <v>820.2172119999999</v>
      </c>
      <c r="H22" s="7">
        <v>923.65007200000002</v>
      </c>
      <c r="I22" s="7">
        <v>956.62902400000007</v>
      </c>
      <c r="J22" s="7">
        <v>1020.4116840000002</v>
      </c>
      <c r="K22" s="7">
        <v>1304.9982279999999</v>
      </c>
      <c r="L22" s="7">
        <v>1377.0077360000002</v>
      </c>
      <c r="M22" s="7">
        <v>1666.3616560000003</v>
      </c>
    </row>
    <row r="23" spans="1:13" x14ac:dyDescent="0.35">
      <c r="A23" s="8"/>
      <c r="B23" t="s">
        <v>35</v>
      </c>
      <c r="C23" s="7">
        <v>1632.9719358912591</v>
      </c>
      <c r="D23" s="7">
        <v>1701.0488491860415</v>
      </c>
      <c r="E23" s="7">
        <v>1747.2451518863356</v>
      </c>
      <c r="F23" s="7">
        <v>1856.9441929209277</v>
      </c>
      <c r="G23" s="7">
        <v>1802.4673854818941</v>
      </c>
      <c r="H23" s="7">
        <v>1846.3602326985088</v>
      </c>
      <c r="I23" s="7">
        <v>1982.9072323706323</v>
      </c>
      <c r="J23" s="7">
        <v>2118.2150377825496</v>
      </c>
      <c r="K23" s="7">
        <v>2248.0525200458092</v>
      </c>
      <c r="L23" s="7">
        <v>2252.1025778962398</v>
      </c>
      <c r="M23" s="7">
        <v>2234.2502011475999</v>
      </c>
    </row>
    <row r="24" spans="1:13" x14ac:dyDescent="0.35">
      <c r="A24" s="8"/>
      <c r="B24" t="s">
        <v>36</v>
      </c>
      <c r="C24" s="7">
        <v>3462.0680821326087</v>
      </c>
      <c r="D24" s="7">
        <v>3841.644695089271</v>
      </c>
      <c r="E24" s="7">
        <v>4080.3779217910073</v>
      </c>
      <c r="F24" s="7">
        <v>4405.2640400849796</v>
      </c>
      <c r="G24" s="7">
        <v>4573.7230536448624</v>
      </c>
      <c r="H24" s="7">
        <v>4614.144859700049</v>
      </c>
      <c r="I24" s="7">
        <v>4825.176429105225</v>
      </c>
      <c r="J24" s="7">
        <v>5049.358297227046</v>
      </c>
      <c r="K24" s="7">
        <v>5247.2272779167743</v>
      </c>
      <c r="L24" s="7">
        <v>5318.3986609710728</v>
      </c>
      <c r="M24" s="7">
        <v>5400.852262924328</v>
      </c>
    </row>
    <row r="25" spans="1:13" x14ac:dyDescent="0.35">
      <c r="A25" s="8"/>
      <c r="B25" t="s">
        <v>37</v>
      </c>
      <c r="C25" s="7">
        <v>36.19</v>
      </c>
      <c r="D25" s="7">
        <v>33.159999999999997</v>
      </c>
      <c r="E25" s="7">
        <v>43.11</v>
      </c>
      <c r="F25" s="7">
        <v>22.27</v>
      </c>
      <c r="G25" s="7">
        <v>27.57</v>
      </c>
      <c r="H25" s="7">
        <v>33.520000000000003</v>
      </c>
      <c r="I25" s="7">
        <v>29.7</v>
      </c>
      <c r="J25" s="7">
        <v>31.31</v>
      </c>
      <c r="K25" s="7">
        <v>40.380000000000003</v>
      </c>
      <c r="L25" s="7">
        <v>42.18</v>
      </c>
      <c r="M25" s="7">
        <v>54.28</v>
      </c>
    </row>
    <row r="26" spans="1:13" x14ac:dyDescent="0.35">
      <c r="A26" s="8" t="s">
        <v>44</v>
      </c>
      <c r="B26" t="s">
        <v>45</v>
      </c>
      <c r="C26" s="7">
        <v>25.000500000000002</v>
      </c>
      <c r="D26" s="7">
        <v>2.2857600000000002</v>
      </c>
      <c r="E26" s="7">
        <v>2.064327</v>
      </c>
      <c r="F26" s="7">
        <v>2.7929130000000004</v>
      </c>
      <c r="G26" s="7">
        <v>1.7571780000000001</v>
      </c>
      <c r="H26" s="7">
        <v>1.8357509999999999</v>
      </c>
      <c r="I26" s="7">
        <v>1.5571740000000003</v>
      </c>
      <c r="J26" s="7">
        <v>0.72858600000000007</v>
      </c>
      <c r="K26" s="7">
        <v>0.72144300000000006</v>
      </c>
      <c r="L26" s="7">
        <v>0.36429300000000003</v>
      </c>
      <c r="M26" s="7">
        <v>0.22857600000000003</v>
      </c>
    </row>
    <row r="27" spans="1:13" x14ac:dyDescent="0.35">
      <c r="A27" s="8"/>
      <c r="B27" t="s">
        <v>46</v>
      </c>
      <c r="C27" s="7">
        <v>1316.6805505280142</v>
      </c>
      <c r="D27" s="7">
        <v>1382.8763468753007</v>
      </c>
      <c r="E27" s="7">
        <v>1502.7026328987004</v>
      </c>
      <c r="F27" s="7">
        <v>1613.1544293188065</v>
      </c>
      <c r="G27" s="7">
        <v>1743.0910367347087</v>
      </c>
      <c r="H27" s="7">
        <v>1791.9861131410728</v>
      </c>
      <c r="I27" s="7">
        <v>1840.1656051243326</v>
      </c>
      <c r="J27" s="7">
        <v>1925.4376280780486</v>
      </c>
      <c r="K27" s="7">
        <v>2029.0935858713256</v>
      </c>
      <c r="L27" s="7">
        <v>2098.048564444473</v>
      </c>
      <c r="M27" s="7">
        <v>2156.1306668254169</v>
      </c>
    </row>
    <row r="28" spans="1:13" x14ac:dyDescent="0.35">
      <c r="A28" s="8"/>
      <c r="B28" t="s">
        <v>47</v>
      </c>
      <c r="C28" s="7">
        <v>14.364000000000003</v>
      </c>
      <c r="D28" s="7">
        <v>57.722000000000001</v>
      </c>
      <c r="E28" s="7">
        <v>54.53</v>
      </c>
      <c r="F28" s="7">
        <v>61.845000000000006</v>
      </c>
      <c r="G28" s="7">
        <v>99.484000000000009</v>
      </c>
      <c r="H28" s="7">
        <v>147.69503199999997</v>
      </c>
      <c r="I28" s="7">
        <v>155.33390399999999</v>
      </c>
      <c r="J28" s="7">
        <v>159.23362399999999</v>
      </c>
      <c r="K28" s="7">
        <v>182.967916</v>
      </c>
      <c r="L28" s="7">
        <v>264.33329600000002</v>
      </c>
      <c r="M28" s="7">
        <v>205.964708</v>
      </c>
    </row>
    <row r="29" spans="1:13" x14ac:dyDescent="0.35">
      <c r="A29" s="8"/>
      <c r="B29" t="s">
        <v>48</v>
      </c>
      <c r="C29" s="7">
        <v>4.1056408621019953</v>
      </c>
      <c r="D29" s="7">
        <v>2.7068585683858504</v>
      </c>
      <c r="E29" s="7">
        <v>0.79794016755138442</v>
      </c>
      <c r="F29" s="7">
        <v>1.6511223467024803</v>
      </c>
      <c r="G29" s="7">
        <v>1.2078222536183778</v>
      </c>
      <c r="H29" s="7">
        <v>0.68575114399394621</v>
      </c>
      <c r="I29" s="7">
        <v>0.35668607489690096</v>
      </c>
      <c r="J29" s="7">
        <v>0.30485406401322124</v>
      </c>
      <c r="K29" s="7">
        <v>0.32633706852422006</v>
      </c>
      <c r="L29" s="7">
        <v>0.19164204024097353</v>
      </c>
      <c r="M29" s="7">
        <v>0.29803406258115811</v>
      </c>
    </row>
    <row r="30" spans="1:13" x14ac:dyDescent="0.35">
      <c r="A30" s="8"/>
      <c r="B30" t="s">
        <v>49</v>
      </c>
      <c r="C30" s="7">
        <v>38.111286280673703</v>
      </c>
      <c r="D30" s="7">
        <v>49.147705203616297</v>
      </c>
      <c r="E30" s="7">
        <v>58.057954334054358</v>
      </c>
      <c r="F30" s="7">
        <v>64.227533731957678</v>
      </c>
      <c r="G30" s="7">
        <v>70.33566313585797</v>
      </c>
      <c r="H30" s="7">
        <v>77.082872477389699</v>
      </c>
      <c r="I30" s="7">
        <v>86.177471589836827</v>
      </c>
      <c r="J30" s="7">
        <v>102.25279002102715</v>
      </c>
      <c r="K30" s="7">
        <v>111.54402911428396</v>
      </c>
      <c r="L30" s="7">
        <v>119.98725829029904</v>
      </c>
      <c r="M30" s="7">
        <v>121.84304810919029</v>
      </c>
    </row>
    <row r="31" spans="1:13" x14ac:dyDescent="0.35">
      <c r="A31" s="8"/>
      <c r="B31" t="s">
        <v>50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</row>
    <row r="32" spans="1:13" x14ac:dyDescent="0.35">
      <c r="A32" s="8" t="s">
        <v>38</v>
      </c>
      <c r="B32" t="s">
        <v>39</v>
      </c>
      <c r="C32" s="7">
        <v>19.621821000000001</v>
      </c>
      <c r="D32" s="7">
        <v>18.186078000000002</v>
      </c>
      <c r="E32" s="7">
        <v>0</v>
      </c>
      <c r="F32" s="7">
        <v>15.267970000000002</v>
      </c>
      <c r="G32" s="7">
        <v>8.9216070000000016</v>
      </c>
      <c r="H32" s="7">
        <v>5.9355580000000012</v>
      </c>
      <c r="I32" s="7">
        <v>3.8072190000000004</v>
      </c>
      <c r="J32" s="7">
        <v>4.0857960000000002</v>
      </c>
      <c r="K32" s="7">
        <v>3.0572040000000005</v>
      </c>
      <c r="L32" s="7">
        <v>2.2714740000000004</v>
      </c>
      <c r="M32" s="7">
        <v>0</v>
      </c>
    </row>
    <row r="33" spans="1:14" x14ac:dyDescent="0.35">
      <c r="A33" s="8"/>
      <c r="B33" t="s">
        <v>155</v>
      </c>
      <c r="C33" s="7">
        <v>81.641173762480648</v>
      </c>
      <c r="D33" s="7">
        <v>109.81923676059344</v>
      </c>
      <c r="E33" s="7">
        <v>144.33174898079506</v>
      </c>
      <c r="F33" s="7">
        <v>112.78972322365652</v>
      </c>
      <c r="G33" s="7">
        <v>92.76182414943662</v>
      </c>
      <c r="H33" s="7">
        <v>76.344849208001591</v>
      </c>
      <c r="I33" s="7">
        <v>50.088385296562535</v>
      </c>
      <c r="J33" s="7">
        <v>35.596059331895646</v>
      </c>
      <c r="K33" s="7">
        <v>33.708099154513079</v>
      </c>
      <c r="L33" s="7">
        <v>34.341085211646998</v>
      </c>
      <c r="M33" s="7">
        <v>11.248457021923878</v>
      </c>
    </row>
    <row r="34" spans="1:14" x14ac:dyDescent="0.35">
      <c r="A34" s="8"/>
      <c r="B34" t="s">
        <v>40</v>
      </c>
      <c r="C34" s="7">
        <v>18.753</v>
      </c>
      <c r="D34" s="7">
        <v>24.338999999999999</v>
      </c>
      <c r="E34" s="7">
        <v>23.94</v>
      </c>
      <c r="F34" s="7">
        <v>26.467000000000002</v>
      </c>
      <c r="G34" s="7">
        <v>25.137</v>
      </c>
      <c r="H34" s="7">
        <v>34.713000000000001</v>
      </c>
      <c r="I34" s="7">
        <v>26.733000000000004</v>
      </c>
      <c r="J34" s="7">
        <v>15.694000000000003</v>
      </c>
      <c r="K34" s="7">
        <v>8.6449999999999996</v>
      </c>
      <c r="L34" s="7">
        <v>9.31</v>
      </c>
      <c r="M34" s="7">
        <v>11.438000000000002</v>
      </c>
    </row>
    <row r="35" spans="1:14" x14ac:dyDescent="0.35">
      <c r="A35" s="8"/>
      <c r="B35" t="s">
        <v>41</v>
      </c>
      <c r="C35" s="7">
        <v>8.9683018831629955</v>
      </c>
      <c r="D35" s="7">
        <v>6.6597313984096314</v>
      </c>
      <c r="E35" s="7">
        <v>4.7740010024441801</v>
      </c>
      <c r="F35" s="7">
        <v>6.783855424473181</v>
      </c>
      <c r="G35" s="7">
        <v>5.2882291104217396</v>
      </c>
      <c r="H35" s="7">
        <v>3.5784547514035165</v>
      </c>
      <c r="I35" s="7">
        <v>0.43750309186684883</v>
      </c>
      <c r="J35" s="7">
        <v>0.41840708785707209</v>
      </c>
      <c r="K35" s="7">
        <v>0.9752602047850254</v>
      </c>
      <c r="L35" s="7">
        <v>0.89853518867431537</v>
      </c>
      <c r="M35" s="7">
        <v>0.66290413919653479</v>
      </c>
    </row>
    <row r="36" spans="1:14" x14ac:dyDescent="0.35">
      <c r="A36" s="8"/>
      <c r="B36" t="s">
        <v>42</v>
      </c>
      <c r="C36" s="7">
        <v>405.59454041754066</v>
      </c>
      <c r="D36" s="7">
        <v>461.82128493030496</v>
      </c>
      <c r="E36" s="7">
        <v>517.76535947065543</v>
      </c>
      <c r="F36" s="7">
        <v>576.90483369916296</v>
      </c>
      <c r="G36" s="7">
        <v>596.2124218149122</v>
      </c>
      <c r="H36" s="7">
        <v>636.25323790728066</v>
      </c>
      <c r="I36" s="7">
        <v>713.87687033189695</v>
      </c>
      <c r="J36" s="7">
        <v>805.449651395199</v>
      </c>
      <c r="K36" s="7">
        <v>929.75069926451033</v>
      </c>
      <c r="L36" s="7">
        <v>992.6386231272021</v>
      </c>
      <c r="M36" s="7">
        <v>999.80369242795427</v>
      </c>
    </row>
    <row r="37" spans="1:14" x14ac:dyDescent="0.35">
      <c r="A37" s="8"/>
      <c r="B37" t="s">
        <v>43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</row>
    <row r="38" spans="1:14" x14ac:dyDescent="0.35">
      <c r="A38" s="8" t="s">
        <v>51</v>
      </c>
      <c r="B38" t="s">
        <v>52</v>
      </c>
      <c r="C38" s="7">
        <v>36.190406643543753</v>
      </c>
      <c r="D38" s="7">
        <v>17.524332122160509</v>
      </c>
      <c r="E38" s="7">
        <v>12.710316731123074</v>
      </c>
      <c r="F38" s="7">
        <v>9.167408</v>
      </c>
      <c r="G38" s="7">
        <v>7.7607320000000009</v>
      </c>
      <c r="H38" s="7">
        <v>4.4715180000000005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6"/>
    </row>
    <row r="39" spans="1:14" x14ac:dyDescent="0.35">
      <c r="A39" s="8"/>
      <c r="B39" t="s">
        <v>53</v>
      </c>
      <c r="C39" s="7">
        <v>500.90756089096612</v>
      </c>
      <c r="D39" s="7">
        <v>545.17383720315718</v>
      </c>
      <c r="E39" s="7">
        <v>634.89092225459103</v>
      </c>
      <c r="F39" s="7">
        <v>575.22530854825163</v>
      </c>
      <c r="G39" s="7">
        <v>628.36806432379103</v>
      </c>
      <c r="H39" s="7">
        <v>656.10267364408423</v>
      </c>
      <c r="I39" s="7">
        <v>658.44591107344218</v>
      </c>
      <c r="J39" s="7">
        <v>715.47743944561557</v>
      </c>
      <c r="K39" s="7">
        <v>741.33444580865716</v>
      </c>
      <c r="L39" s="7">
        <v>716.8985998339499</v>
      </c>
      <c r="M39" s="7">
        <v>735.80528694112229</v>
      </c>
    </row>
    <row r="40" spans="1:14" x14ac:dyDescent="0.35">
      <c r="A40" s="8"/>
      <c r="B40" t="s">
        <v>54</v>
      </c>
      <c r="C40" s="7">
        <v>108.26200000000001</v>
      </c>
      <c r="D40" s="7">
        <v>123.42399999999999</v>
      </c>
      <c r="E40" s="7">
        <v>136.72399999999999</v>
      </c>
      <c r="F40" s="7">
        <v>195.64300000000003</v>
      </c>
      <c r="G40" s="7">
        <v>210.14000000000001</v>
      </c>
      <c r="H40" s="7">
        <v>239.93199999999999</v>
      </c>
      <c r="I40" s="7">
        <v>280.23099999999999</v>
      </c>
      <c r="J40" s="7">
        <v>300.31400000000002</v>
      </c>
      <c r="K40" s="7">
        <v>353.91300000000001</v>
      </c>
      <c r="L40" s="7">
        <v>402.85700000000003</v>
      </c>
      <c r="M40" s="7">
        <v>455.12600000000003</v>
      </c>
    </row>
    <row r="41" spans="1:14" x14ac:dyDescent="0.35">
      <c r="A41" s="8"/>
      <c r="B41" t="s">
        <v>55</v>
      </c>
      <c r="C41" s="7">
        <v>23.842725006492653</v>
      </c>
      <c r="D41" s="7">
        <v>17.314619635721836</v>
      </c>
      <c r="E41" s="7">
        <v>11.533986421905141</v>
      </c>
      <c r="F41" s="7">
        <v>17.510012676750446</v>
      </c>
      <c r="G41" s="7">
        <v>15.52982526095092</v>
      </c>
      <c r="H41" s="7">
        <v>15.267937205959695</v>
      </c>
      <c r="I41" s="7">
        <v>6.2143853048959103</v>
      </c>
      <c r="J41" s="7">
        <v>5.8345112251299946</v>
      </c>
      <c r="K41" s="7">
        <v>6.5257183702695913</v>
      </c>
      <c r="L41" s="7">
        <v>7.4392575620944461</v>
      </c>
      <c r="M41" s="7">
        <v>9.3000949528328682</v>
      </c>
    </row>
    <row r="42" spans="1:14" x14ac:dyDescent="0.35">
      <c r="A42" s="8"/>
      <c r="B42" t="s">
        <v>56</v>
      </c>
      <c r="C42" s="7">
        <v>478.84293326914184</v>
      </c>
      <c r="D42" s="7">
        <v>501.69004103946503</v>
      </c>
      <c r="E42" s="7">
        <v>576.22888376512969</v>
      </c>
      <c r="F42" s="7">
        <v>672.36125438345596</v>
      </c>
      <c r="G42" s="7">
        <v>610.65317040562218</v>
      </c>
      <c r="H42" s="7">
        <v>650.38673652797559</v>
      </c>
      <c r="I42" s="7">
        <v>761.41458569263409</v>
      </c>
      <c r="J42" s="7">
        <v>841.01690792414763</v>
      </c>
      <c r="K42" s="7">
        <v>931.91373905341652</v>
      </c>
      <c r="L42" s="7">
        <v>943.23282794877309</v>
      </c>
      <c r="M42" s="7">
        <v>980.37320432419904</v>
      </c>
    </row>
    <row r="43" spans="1:14" x14ac:dyDescent="0.35">
      <c r="A43" s="8"/>
      <c r="B43" t="s">
        <v>57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</row>
    <row r="44" spans="1:14" x14ac:dyDescent="0.35">
      <c r="A44" s="8" t="s">
        <v>24</v>
      </c>
      <c r="B44" t="s">
        <v>25</v>
      </c>
      <c r="C44" s="7">
        <v>10530.189885966955</v>
      </c>
      <c r="D44" s="7">
        <v>13115.374595001567</v>
      </c>
      <c r="E44" s="7">
        <v>13610.824178057799</v>
      </c>
      <c r="F44" s="7">
        <v>13202.626594854917</v>
      </c>
      <c r="G44" s="7">
        <v>12130.493827362759</v>
      </c>
      <c r="H44" s="7">
        <v>12426.868865633895</v>
      </c>
      <c r="I44" s="7">
        <v>12992.04237808465</v>
      </c>
      <c r="J44" s="7">
        <v>12759.392167893442</v>
      </c>
      <c r="K44" s="7">
        <v>12683.302805377745</v>
      </c>
      <c r="L44" s="7">
        <v>12204.499490052693</v>
      </c>
      <c r="M44" s="7">
        <v>11969.33815725684</v>
      </c>
    </row>
    <row r="45" spans="1:14" x14ac:dyDescent="0.35">
      <c r="A45" s="8"/>
      <c r="B45" t="s">
        <v>26</v>
      </c>
      <c r="C45" s="7">
        <v>172.95067369106701</v>
      </c>
      <c r="D45" s="7">
        <v>140.74118625272001</v>
      </c>
      <c r="E45" s="7">
        <v>214.55054015696246</v>
      </c>
      <c r="F45" s="7">
        <v>183.97258900857156</v>
      </c>
      <c r="G45" s="7">
        <v>235.18038955192904</v>
      </c>
      <c r="H45" s="7">
        <v>182.21355061880408</v>
      </c>
      <c r="I45" s="7">
        <v>204.87562804372638</v>
      </c>
      <c r="J45" s="7">
        <v>163.32141998733888</v>
      </c>
      <c r="K45" s="7">
        <v>221.17551981843923</v>
      </c>
      <c r="L45" s="7">
        <v>280.58840302264031</v>
      </c>
      <c r="M45" s="7">
        <v>277.74211862434765</v>
      </c>
    </row>
    <row r="46" spans="1:14" x14ac:dyDescent="0.35">
      <c r="A46" s="8"/>
      <c r="B46" t="s">
        <v>27</v>
      </c>
      <c r="C46" s="7">
        <v>373.73</v>
      </c>
      <c r="D46" s="7">
        <v>520.16300000000012</v>
      </c>
      <c r="E46" s="7">
        <v>611.66700000000003</v>
      </c>
      <c r="F46" s="7">
        <v>601.82500000000005</v>
      </c>
      <c r="G46" s="7">
        <v>543.30583999999999</v>
      </c>
      <c r="H46" s="7">
        <v>847.5932160000001</v>
      </c>
      <c r="I46" s="7">
        <v>876.79566000000011</v>
      </c>
      <c r="J46" s="7">
        <v>1663.340404</v>
      </c>
      <c r="K46" s="7">
        <v>1819.1596959999999</v>
      </c>
      <c r="L46" s="7">
        <v>1774.4511719999998</v>
      </c>
      <c r="M46" s="7">
        <v>1368.522232</v>
      </c>
    </row>
    <row r="47" spans="1:14" x14ac:dyDescent="0.35">
      <c r="A47" s="8"/>
      <c r="B47" t="s">
        <v>28</v>
      </c>
      <c r="C47" s="7">
        <v>-1669.8886036430167</v>
      </c>
      <c r="D47" s="7">
        <v>-1727.7300587885588</v>
      </c>
      <c r="E47" s="7">
        <v>-1764.3510794782364</v>
      </c>
      <c r="F47" s="7">
        <v>-1882.8891833688538</v>
      </c>
      <c r="G47" s="7">
        <v>-1824.4932621068851</v>
      </c>
      <c r="H47" s="7">
        <v>-1865.8923757998659</v>
      </c>
      <c r="I47" s="7">
        <v>-1989.9158068422921</v>
      </c>
      <c r="J47" s="7">
        <v>-2124.7728101595503</v>
      </c>
      <c r="K47" s="7">
        <v>-2255.8798356893881</v>
      </c>
      <c r="L47" s="7">
        <v>-2260.6320126872497</v>
      </c>
      <c r="M47" s="7">
        <v>-2244.5112343022106</v>
      </c>
    </row>
    <row r="48" spans="1:14" x14ac:dyDescent="0.35">
      <c r="A48" s="8"/>
      <c r="B48" t="s">
        <v>29</v>
      </c>
      <c r="C48" s="7">
        <v>-3731.8089758082706</v>
      </c>
      <c r="D48" s="7">
        <v>-4218.0873583517778</v>
      </c>
      <c r="E48" s="7">
        <v>-4493.9855414265412</v>
      </c>
      <c r="F48" s="7">
        <v>-4822.1776693978773</v>
      </c>
      <c r="G48" s="7">
        <v>-4725.0620988755027</v>
      </c>
      <c r="H48" s="7">
        <v>-4869.8505747454219</v>
      </c>
      <c r="I48" s="7">
        <v>-5164.9457359467297</v>
      </c>
      <c r="J48" s="7">
        <v>-5286.3955040943001</v>
      </c>
      <c r="K48" s="7">
        <v>-5346.7516882040672</v>
      </c>
      <c r="L48" s="7">
        <v>-5261.6926065050857</v>
      </c>
      <c r="M48" s="7">
        <v>-5217.5715108109171</v>
      </c>
    </row>
    <row r="49" spans="1:13" x14ac:dyDescent="0.35">
      <c r="A49" s="8"/>
      <c r="B49" t="s">
        <v>30</v>
      </c>
      <c r="C49" s="7">
        <v>125.22</v>
      </c>
      <c r="D49" s="7">
        <v>143.15</v>
      </c>
      <c r="E49" s="7">
        <v>195.92</v>
      </c>
      <c r="F49" s="7">
        <v>257.97000000000003</v>
      </c>
      <c r="G49" s="7">
        <v>292.18</v>
      </c>
      <c r="H49" s="7">
        <v>298.84000000000003</v>
      </c>
      <c r="I49" s="7">
        <v>286.27</v>
      </c>
      <c r="J49" s="7">
        <v>310.35000000000002</v>
      </c>
      <c r="K49" s="7">
        <v>335.99</v>
      </c>
      <c r="L49" s="7">
        <v>349.35</v>
      </c>
      <c r="M49" s="7">
        <v>299.73</v>
      </c>
    </row>
    <row r="50" spans="1:13" x14ac:dyDescent="0.35">
      <c r="A50" s="9" t="s">
        <v>111</v>
      </c>
      <c r="B50" t="s">
        <v>99</v>
      </c>
      <c r="C50" s="7">
        <v>9335.6923254177746</v>
      </c>
      <c r="D50" s="7">
        <v>10969.992812619477</v>
      </c>
      <c r="E50" s="7">
        <v>11409.4251813718</v>
      </c>
      <c r="F50" s="7">
        <v>11937.158196325423</v>
      </c>
      <c r="G50" s="7">
        <v>11082.278627245991</v>
      </c>
      <c r="H50" s="7">
        <v>11319.730619722344</v>
      </c>
      <c r="I50" s="7">
        <v>12021.387279901712</v>
      </c>
      <c r="J50" s="7">
        <v>11846.609169324262</v>
      </c>
      <c r="K50" s="7">
        <v>11649.975645588496</v>
      </c>
      <c r="L50" s="7">
        <v>11635.91065259895</v>
      </c>
      <c r="M50" s="7">
        <v>11305.034139737198</v>
      </c>
    </row>
    <row r="51" spans="1:13" x14ac:dyDescent="0.35">
      <c r="A51" s="9"/>
      <c r="B51" t="s">
        <v>100</v>
      </c>
      <c r="C51" s="7">
        <v>1840.9646671130974</v>
      </c>
      <c r="D51" s="7">
        <v>1984.6256192966509</v>
      </c>
      <c r="E51" s="7">
        <v>2145.5078337562618</v>
      </c>
      <c r="F51" s="7">
        <v>2156.5214097092494</v>
      </c>
      <c r="G51" s="7">
        <v>2208.0121921023142</v>
      </c>
      <c r="H51" s="7">
        <v>2307.7281079091972</v>
      </c>
      <c r="I51" s="7">
        <v>2232.611580782735</v>
      </c>
      <c r="J51" s="7">
        <v>2439.1511808684622</v>
      </c>
      <c r="K51" s="7">
        <v>2826.7610133570997</v>
      </c>
      <c r="L51" s="7">
        <v>2746.9219796912239</v>
      </c>
      <c r="M51" s="7">
        <v>2784.1871060788162</v>
      </c>
    </row>
    <row r="52" spans="1:13" x14ac:dyDescent="0.35">
      <c r="A52" s="9"/>
      <c r="B52" t="s">
        <v>101</v>
      </c>
      <c r="C52" s="7">
        <v>-646.46710656391838</v>
      </c>
      <c r="D52" s="7">
        <v>160.75616308544039</v>
      </c>
      <c r="E52" s="7">
        <v>55.89116292973678</v>
      </c>
      <c r="F52" s="7">
        <v>-891.05301117975455</v>
      </c>
      <c r="G52" s="7">
        <v>-1159.7969919855459</v>
      </c>
      <c r="H52" s="7">
        <v>-1200.5898619976474</v>
      </c>
      <c r="I52" s="7">
        <v>-1261.9564825997961</v>
      </c>
      <c r="J52" s="7">
        <v>-1526.3681822992824</v>
      </c>
      <c r="K52" s="7">
        <v>-1793.4338535678505</v>
      </c>
      <c r="L52" s="7">
        <v>-2178.3331422374818</v>
      </c>
      <c r="M52" s="7">
        <v>-2119.8830885591747</v>
      </c>
    </row>
    <row r="53" spans="1:13" x14ac:dyDescent="0.35">
      <c r="A53" s="10"/>
      <c r="B53" t="s">
        <v>102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</row>
    <row r="54" spans="1:13" x14ac:dyDescent="0.35">
      <c r="A54" s="9"/>
      <c r="B54" t="s">
        <v>103</v>
      </c>
      <c r="C54" s="7">
        <v>4.9301978275163041</v>
      </c>
      <c r="D54" s="7">
        <v>6.8234334491813904</v>
      </c>
      <c r="E54" s="7">
        <v>5.2882191871404869</v>
      </c>
      <c r="F54" s="7">
        <v>4.0852522738774004</v>
      </c>
      <c r="G54" s="7">
        <v>2.3442324572380007</v>
      </c>
      <c r="H54" s="7">
        <v>2.3528004736007304</v>
      </c>
      <c r="I54" s="7">
        <v>1.9102405988307762</v>
      </c>
      <c r="J54" s="7">
        <v>2.342804314719483</v>
      </c>
      <c r="K54" s="7">
        <v>6.9638543403455921</v>
      </c>
      <c r="L54" s="7">
        <v>8.4942447370046814</v>
      </c>
      <c r="M54" s="7">
        <v>7.1196297988029391</v>
      </c>
    </row>
    <row r="55" spans="1:13" x14ac:dyDescent="0.35">
      <c r="A55" s="9"/>
      <c r="B55" t="s">
        <v>104</v>
      </c>
      <c r="C55" s="7">
        <v>4.0734066196491874</v>
      </c>
      <c r="D55" s="7">
        <v>5.2032700990458256</v>
      </c>
      <c r="E55" s="7">
        <v>3.7176028319837195</v>
      </c>
      <c r="F55" s="7">
        <v>4.8638206990535693</v>
      </c>
      <c r="G55" s="7">
        <v>2.224537324029817</v>
      </c>
      <c r="H55" s="7">
        <v>2.1862484624864229</v>
      </c>
      <c r="I55" s="7">
        <v>1.5642589132962315</v>
      </c>
      <c r="J55" s="7">
        <v>4.4019179815995653</v>
      </c>
      <c r="K55" s="7">
        <v>13.601286940605462</v>
      </c>
      <c r="L55" s="7">
        <v>12.324906747500178</v>
      </c>
      <c r="M55" s="7">
        <v>9.3681393400964303</v>
      </c>
    </row>
    <row r="56" spans="1:13" x14ac:dyDescent="0.35">
      <c r="A56" s="9"/>
      <c r="B56" t="s">
        <v>105</v>
      </c>
      <c r="C56" s="7">
        <v>147.60078775120326</v>
      </c>
      <c r="D56" s="7">
        <v>115.26267467395451</v>
      </c>
      <c r="E56" s="7">
        <v>195.09670563265581</v>
      </c>
      <c r="F56" s="7">
        <v>155.08004876143912</v>
      </c>
      <c r="G56" s="7">
        <v>212.07156033791739</v>
      </c>
      <c r="H56" s="7">
        <v>158.66301177799187</v>
      </c>
      <c r="I56" s="7">
        <v>182.07820873627247</v>
      </c>
      <c r="J56" s="7">
        <v>147.2080953765053</v>
      </c>
      <c r="K56" s="7">
        <v>190.91034608844916</v>
      </c>
      <c r="L56" s="7">
        <v>250.3863634655811</v>
      </c>
      <c r="M56" s="7">
        <v>253.98289864318181</v>
      </c>
    </row>
    <row r="57" spans="1:13" x14ac:dyDescent="0.35">
      <c r="A57" s="9"/>
      <c r="B57" t="s">
        <v>106</v>
      </c>
      <c r="C57" s="7">
        <v>16.346281492698267</v>
      </c>
      <c r="D57" s="7">
        <v>13.451808030538277</v>
      </c>
      <c r="E57" s="7">
        <v>10.448012505182442</v>
      </c>
      <c r="F57" s="7">
        <v>19.943467274201495</v>
      </c>
      <c r="G57" s="7">
        <v>18.540059432743842</v>
      </c>
      <c r="H57" s="7">
        <v>19.011489904725078</v>
      </c>
      <c r="I57" s="7">
        <v>19.322919795326907</v>
      </c>
      <c r="J57" s="7">
        <v>9.3686023145145203</v>
      </c>
      <c r="K57" s="7">
        <v>9.700032449039016</v>
      </c>
      <c r="L57" s="7">
        <v>9.3828880725543371</v>
      </c>
      <c r="M57" s="7">
        <v>7.2714508422664617</v>
      </c>
    </row>
    <row r="58" spans="1:13" x14ac:dyDescent="0.35">
      <c r="A58" s="9"/>
      <c r="B58" t="s">
        <v>107</v>
      </c>
      <c r="C58" s="7">
        <v>324.387</v>
      </c>
      <c r="D58" s="7">
        <v>478.26800000000003</v>
      </c>
      <c r="E58" s="7">
        <v>584.53500000000008</v>
      </c>
      <c r="F58" s="7">
        <v>561.79200000000003</v>
      </c>
      <c r="G58" s="7">
        <v>485.45000000000005</v>
      </c>
      <c r="H58" s="7">
        <v>769.40500000000009</v>
      </c>
      <c r="I58" s="7">
        <v>790.8180000000001</v>
      </c>
      <c r="J58" s="7">
        <v>1506.7570000000001</v>
      </c>
      <c r="K58" s="7">
        <v>1538.283056</v>
      </c>
      <c r="L58" s="7">
        <v>1483.6253119999999</v>
      </c>
      <c r="M58" s="7">
        <v>1085.56852</v>
      </c>
    </row>
    <row r="59" spans="1:13" x14ac:dyDescent="0.35">
      <c r="A59" s="9"/>
      <c r="B59" t="s">
        <v>108</v>
      </c>
      <c r="C59" s="7">
        <v>37.639000000000003</v>
      </c>
      <c r="D59" s="7">
        <v>41.363</v>
      </c>
      <c r="E59" s="7">
        <v>5.8520000000000003</v>
      </c>
      <c r="F59" s="7">
        <v>17.157</v>
      </c>
      <c r="G59" s="7">
        <v>27.930000000000003</v>
      </c>
      <c r="H59" s="7">
        <v>49.210000000000008</v>
      </c>
      <c r="I59" s="7">
        <v>85.918000000000006</v>
      </c>
      <c r="J59" s="7">
        <v>124.22200000000001</v>
      </c>
      <c r="K59" s="7">
        <v>241.50864000000001</v>
      </c>
      <c r="L59" s="7">
        <v>247.19975600000001</v>
      </c>
      <c r="M59" s="7">
        <v>243.83961199999999</v>
      </c>
    </row>
    <row r="60" spans="1:13" x14ac:dyDescent="0.35">
      <c r="A60" s="9"/>
      <c r="B60" t="s">
        <v>109</v>
      </c>
      <c r="C60" s="7">
        <v>0</v>
      </c>
      <c r="D60" s="7">
        <v>0</v>
      </c>
      <c r="E60" s="7">
        <v>0</v>
      </c>
      <c r="F60" s="7">
        <v>0</v>
      </c>
      <c r="G60" s="7">
        <v>0.3998400000000002</v>
      </c>
      <c r="H60" s="7">
        <v>0.11721599999999999</v>
      </c>
      <c r="I60" s="7">
        <v>5.9660000000000046E-2</v>
      </c>
      <c r="J60" s="7">
        <v>4.2403999999999997E-2</v>
      </c>
      <c r="K60" s="7">
        <v>0</v>
      </c>
      <c r="L60" s="7">
        <v>0.2681039999999999</v>
      </c>
      <c r="M60" s="7">
        <v>0.14510000000000001</v>
      </c>
    </row>
    <row r="61" spans="1:13" x14ac:dyDescent="0.35">
      <c r="A61" s="9"/>
      <c r="B61" t="s">
        <v>110</v>
      </c>
      <c r="C61" s="7">
        <v>11.704000000000001</v>
      </c>
      <c r="D61" s="7">
        <v>0.53200000000000003</v>
      </c>
      <c r="E61" s="7">
        <v>21.28</v>
      </c>
      <c r="F61" s="7">
        <v>22.876000000000001</v>
      </c>
      <c r="G61" s="7">
        <v>29.526000000000003</v>
      </c>
      <c r="H61" s="7">
        <v>28.861000000000001</v>
      </c>
      <c r="I61" s="7">
        <v>0</v>
      </c>
      <c r="J61" s="7">
        <v>32.319000000000003</v>
      </c>
      <c r="K61" s="7">
        <v>39.368000000000002</v>
      </c>
      <c r="L61" s="7">
        <v>43.357999999999997</v>
      </c>
      <c r="M61" s="7">
        <v>38.969000000000001</v>
      </c>
    </row>
    <row r="62" spans="1:13" x14ac:dyDescent="0.35">
      <c r="A62" s="9"/>
      <c r="B62" t="s">
        <v>146</v>
      </c>
      <c r="C62" s="7">
        <v>238.97902667774915</v>
      </c>
      <c r="D62" s="7">
        <v>248.20881577700294</v>
      </c>
      <c r="E62" s="7">
        <v>265.79580406066759</v>
      </c>
      <c r="F62" s="7">
        <v>271.91622346336845</v>
      </c>
      <c r="G62" s="7">
        <v>366.21738426040474</v>
      </c>
      <c r="H62" s="7">
        <v>326.07824817763128</v>
      </c>
      <c r="I62" s="7">
        <v>376.50411325651044</v>
      </c>
      <c r="J62" s="7">
        <v>496.07351158758894</v>
      </c>
      <c r="K62" s="7">
        <v>697.74010190670367</v>
      </c>
      <c r="L62" s="7">
        <v>857.41176632415375</v>
      </c>
      <c r="M62" s="7">
        <v>963.06888601294827</v>
      </c>
    </row>
    <row r="63" spans="1:13" x14ac:dyDescent="0.35">
      <c r="A63" s="9"/>
      <c r="B63" t="s">
        <v>30</v>
      </c>
      <c r="C63" s="7">
        <v>161.41</v>
      </c>
      <c r="D63" s="7">
        <v>176.31</v>
      </c>
      <c r="E63" s="7">
        <v>239.02999999999997</v>
      </c>
      <c r="F63" s="7">
        <v>280.24</v>
      </c>
      <c r="G63" s="7">
        <v>319.75</v>
      </c>
      <c r="H63" s="7">
        <v>332.36</v>
      </c>
      <c r="I63" s="7">
        <v>315.96999999999997</v>
      </c>
      <c r="J63" s="7">
        <v>341.66</v>
      </c>
      <c r="K63" s="7">
        <v>376.37</v>
      </c>
      <c r="L63" s="7">
        <v>391.53000000000003</v>
      </c>
      <c r="M63" s="7">
        <v>354.01</v>
      </c>
    </row>
    <row r="64" spans="1:13" x14ac:dyDescent="0.35">
      <c r="A64" s="9"/>
      <c r="B64" t="s">
        <v>112</v>
      </c>
      <c r="C64" s="7">
        <v>448.68327621245896</v>
      </c>
      <c r="D64" s="7">
        <v>428.57683817467057</v>
      </c>
      <c r="E64" s="7">
        <v>519.30160932073102</v>
      </c>
      <c r="F64" s="7">
        <v>678.00236383293327</v>
      </c>
      <c r="G64" s="7">
        <v>816.94080027376401</v>
      </c>
      <c r="H64" s="7">
        <v>846.473667391616</v>
      </c>
      <c r="I64" s="7">
        <v>921.2337300956915</v>
      </c>
      <c r="J64" s="7">
        <v>1097.6812428759663</v>
      </c>
      <c r="K64" s="7">
        <v>1264.4073666049633</v>
      </c>
      <c r="L64" s="7">
        <v>1349.3189683183377</v>
      </c>
      <c r="M64" s="7">
        <v>1420.9327913294587</v>
      </c>
    </row>
    <row r="65" spans="1:14" x14ac:dyDescent="0.35">
      <c r="A65" s="8" t="s">
        <v>64</v>
      </c>
      <c r="B65" t="s">
        <v>69</v>
      </c>
      <c r="C65" s="7">
        <v>2.6636734598908021</v>
      </c>
      <c r="D65" s="7">
        <v>2.6636734598908021</v>
      </c>
      <c r="E65" s="7">
        <v>2.6636734598908021</v>
      </c>
      <c r="F65" s="7">
        <v>2.6636734598908021</v>
      </c>
      <c r="G65" s="7">
        <v>2.6636734598908021</v>
      </c>
      <c r="H65" s="7">
        <v>2.6636734598908021</v>
      </c>
      <c r="I65" s="7">
        <v>2.6636734598908021</v>
      </c>
      <c r="J65" s="7">
        <v>2.6636734598908021</v>
      </c>
      <c r="K65" s="7">
        <v>2.6636734598908021</v>
      </c>
      <c r="L65" s="7">
        <v>2.6636734598908021</v>
      </c>
      <c r="M65" s="7">
        <v>2.6636734598908021</v>
      </c>
      <c r="N65" s="11">
        <f>AVERAGE(C65:M70)</f>
        <v>1.7746131294967744</v>
      </c>
    </row>
    <row r="66" spans="1:14" x14ac:dyDescent="0.35">
      <c r="A66" s="8"/>
      <c r="B66" t="s">
        <v>70</v>
      </c>
      <c r="C66" s="7">
        <v>2.1138117262596738</v>
      </c>
      <c r="D66" s="7">
        <v>2.1162814890778665</v>
      </c>
      <c r="E66" s="7">
        <v>2.1189352327241817</v>
      </c>
      <c r="F66" s="7">
        <v>2.1174167716160248</v>
      </c>
      <c r="G66" s="7">
        <v>2.1092450556122189</v>
      </c>
      <c r="H66" s="7">
        <v>2.1096640333964309</v>
      </c>
      <c r="I66" s="7">
        <v>2.1166889753489908</v>
      </c>
      <c r="J66" s="7">
        <v>2.1165287463181004</v>
      </c>
      <c r="K66" s="7">
        <v>2.1163409407581941</v>
      </c>
      <c r="L66" s="7">
        <v>2.1159286339651047</v>
      </c>
      <c r="M66" s="7">
        <v>2.1156384028422135</v>
      </c>
    </row>
    <row r="67" spans="1:14" x14ac:dyDescent="0.35">
      <c r="A67" s="8"/>
      <c r="B67" t="s">
        <v>71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</row>
    <row r="68" spans="1:14" x14ac:dyDescent="0.35">
      <c r="A68" s="8"/>
      <c r="B68" t="s">
        <v>72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4" x14ac:dyDescent="0.35">
      <c r="A69" s="8"/>
      <c r="B69" t="s">
        <v>73</v>
      </c>
      <c r="C69" s="7">
        <v>6.3071087373830164</v>
      </c>
      <c r="D69" s="7">
        <v>6.4450216213687943</v>
      </c>
      <c r="E69" s="7">
        <v>6.2534820740194492</v>
      </c>
      <c r="F69" s="7">
        <v>6.2528628785266234</v>
      </c>
      <c r="G69" s="7">
        <v>5.4502580366560123</v>
      </c>
      <c r="H69" s="7">
        <v>5.7775290799789163</v>
      </c>
      <c r="I69" s="7">
        <v>5.725038192956136</v>
      </c>
      <c r="J69" s="7">
        <v>5.6958716887432681</v>
      </c>
      <c r="K69" s="7">
        <v>5.5956150638451376</v>
      </c>
      <c r="L69" s="7">
        <v>5.6485513684624866</v>
      </c>
      <c r="M69" s="7">
        <v>5.406239738129444</v>
      </c>
    </row>
    <row r="70" spans="1:14" x14ac:dyDescent="0.35">
      <c r="A70" s="8"/>
      <c r="B70" t="s">
        <v>74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4" x14ac:dyDescent="0.35">
      <c r="A71" s="8" t="s">
        <v>65</v>
      </c>
      <c r="B71" t="s">
        <v>75</v>
      </c>
      <c r="C71" s="7">
        <v>2.9610789612377024</v>
      </c>
      <c r="D71" s="7">
        <v>2.6316631028618689</v>
      </c>
      <c r="E71" s="7">
        <v>2.6638935817500768</v>
      </c>
      <c r="F71" s="7">
        <v>3.1297291875676225</v>
      </c>
      <c r="G71" s="7">
        <v>3.3016096046957091</v>
      </c>
      <c r="H71" s="7">
        <v>3.0909936944453795</v>
      </c>
      <c r="I71" s="7">
        <v>3.0859580226028567</v>
      </c>
      <c r="J71" s="7">
        <v>3.166418715467517</v>
      </c>
      <c r="K71" s="7">
        <v>3.2562692242010884</v>
      </c>
      <c r="L71" s="7">
        <v>3.3484501220872862</v>
      </c>
      <c r="M71" s="7">
        <v>3.3831623093333434</v>
      </c>
      <c r="N71" s="11">
        <f>AVERAGE(C71:M76)</f>
        <v>2.4885823739724091</v>
      </c>
    </row>
    <row r="72" spans="1:14" x14ac:dyDescent="0.35">
      <c r="A72" s="8"/>
      <c r="B72" t="s">
        <v>76</v>
      </c>
      <c r="C72" s="7">
        <v>1.3768801595780074</v>
      </c>
      <c r="D72" s="7">
        <v>1.495973288878913</v>
      </c>
      <c r="E72" s="7">
        <v>1.5771134705561816</v>
      </c>
      <c r="F72" s="7">
        <v>1.5185113851380319</v>
      </c>
      <c r="G72" s="7">
        <v>1.5942175440058275</v>
      </c>
      <c r="H72" s="7">
        <v>1.3012194395048957</v>
      </c>
      <c r="I72" s="7">
        <v>1.3227175454052766</v>
      </c>
      <c r="J72" s="7">
        <v>1.3643686396513024</v>
      </c>
      <c r="K72" s="7">
        <v>1.4518091300614984</v>
      </c>
      <c r="L72" s="7">
        <v>1.5582693219116648</v>
      </c>
      <c r="M72" s="7">
        <v>1.8330690688106397</v>
      </c>
    </row>
    <row r="73" spans="1:14" x14ac:dyDescent="0.35">
      <c r="A73" s="8"/>
      <c r="B73" t="s">
        <v>77</v>
      </c>
      <c r="C73" s="7">
        <v>1.62770967669481</v>
      </c>
      <c r="D73" s="7">
        <v>1.5720051178523724</v>
      </c>
      <c r="E73" s="7">
        <v>1.6277097916659475</v>
      </c>
      <c r="F73" s="7">
        <v>1.628556303560168</v>
      </c>
      <c r="G73" s="7">
        <v>1.5874904395620513</v>
      </c>
      <c r="H73" s="7">
        <v>1.592502984744985</v>
      </c>
      <c r="I73" s="7">
        <v>1.5730509323586026</v>
      </c>
      <c r="J73" s="7">
        <v>1.5986315665513098</v>
      </c>
      <c r="K73" s="7">
        <v>1.6036136913602619</v>
      </c>
      <c r="L73" s="7">
        <v>1.6006613019885316</v>
      </c>
      <c r="M73" s="7">
        <v>1.6052333614122478</v>
      </c>
    </row>
    <row r="74" spans="1:14" x14ac:dyDescent="0.35">
      <c r="A74" s="8"/>
      <c r="B74" t="s">
        <v>78</v>
      </c>
      <c r="C74" s="7">
        <v>2.7071335700331449</v>
      </c>
      <c r="D74" s="7">
        <v>2.8605447166183988</v>
      </c>
      <c r="E74" s="7">
        <v>2.9850999594687235</v>
      </c>
      <c r="F74" s="7">
        <v>2.6034061775185648</v>
      </c>
      <c r="G74" s="7">
        <v>2.6197637888662162</v>
      </c>
      <c r="H74" s="7">
        <v>2.7386222457126941</v>
      </c>
      <c r="I74" s="7">
        <v>2.8174286239300659</v>
      </c>
      <c r="J74" s="7">
        <v>2.9256543131610564</v>
      </c>
      <c r="K74" s="7">
        <v>3.1938552857431528</v>
      </c>
      <c r="L74" s="7">
        <v>3.0827419828235838</v>
      </c>
      <c r="M74" s="7">
        <v>3.124066850730113</v>
      </c>
    </row>
    <row r="75" spans="1:14" x14ac:dyDescent="0.35">
      <c r="A75" s="8"/>
      <c r="B75" t="s">
        <v>79</v>
      </c>
      <c r="C75" s="7">
        <v>6.3071087373830172</v>
      </c>
      <c r="D75" s="7">
        <v>6.4450216213687934</v>
      </c>
      <c r="E75" s="7">
        <v>6.2534820740194483</v>
      </c>
      <c r="F75" s="7">
        <v>6.2528628785266234</v>
      </c>
      <c r="G75" s="7">
        <v>5.4502580366560123</v>
      </c>
      <c r="H75" s="7">
        <v>5.7775290799789163</v>
      </c>
      <c r="I75" s="7">
        <v>5.725038192956136</v>
      </c>
      <c r="J75" s="7">
        <v>5.6958716887432681</v>
      </c>
      <c r="K75" s="7">
        <v>5.5956150638451367</v>
      </c>
      <c r="L75" s="7">
        <v>5.6485513684624884</v>
      </c>
      <c r="M75" s="7">
        <v>5.4062397381294431</v>
      </c>
    </row>
    <row r="76" spans="1:14" x14ac:dyDescent="0.35">
      <c r="A76" s="8"/>
      <c r="B76" t="s">
        <v>80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4" x14ac:dyDescent="0.35">
      <c r="A77" s="8" t="s">
        <v>66</v>
      </c>
      <c r="B77" t="s">
        <v>81</v>
      </c>
      <c r="C77" s="7">
        <v>2.6636734598908016</v>
      </c>
      <c r="D77" s="7">
        <v>2.6636734598908021</v>
      </c>
      <c r="E77" s="7">
        <v>2.6636734598908021</v>
      </c>
      <c r="F77" s="7">
        <v>2.6636734598908021</v>
      </c>
      <c r="G77" s="7">
        <v>2.6636734598908021</v>
      </c>
      <c r="H77" s="7">
        <v>2.6636734598908021</v>
      </c>
      <c r="I77" s="7">
        <v>2.6636734598908025</v>
      </c>
      <c r="J77" s="7">
        <v>2.6636734598908021</v>
      </c>
      <c r="K77" s="7">
        <v>2.6636734598908021</v>
      </c>
      <c r="L77" s="7">
        <v>2.6636734598908021</v>
      </c>
      <c r="M77" s="7">
        <v>2.6636734598908021</v>
      </c>
      <c r="N77" s="11">
        <f>AVERAGE(C77:M82)</f>
        <v>2.5759229571085234</v>
      </c>
    </row>
    <row r="78" spans="1:14" x14ac:dyDescent="0.35">
      <c r="A78" s="8"/>
      <c r="B78" t="s">
        <v>82</v>
      </c>
      <c r="C78" s="7">
        <v>2.0701706997118992</v>
      </c>
      <c r="D78" s="7">
        <v>2.0649691738551654</v>
      </c>
      <c r="E78" s="7">
        <v>2.0642729598788363</v>
      </c>
      <c r="F78" s="7">
        <v>2.0658570216186654</v>
      </c>
      <c r="G78" s="7">
        <v>2.0674607947390515</v>
      </c>
      <c r="H78" s="7">
        <v>2.0677058259804117</v>
      </c>
      <c r="I78" s="7">
        <v>2.0676406019601004</v>
      </c>
      <c r="J78" s="7">
        <v>2.067873466793742</v>
      </c>
      <c r="K78" s="7">
        <v>2.0699122340060394</v>
      </c>
      <c r="L78" s="7">
        <v>2.0685734375766356</v>
      </c>
      <c r="M78" s="7">
        <v>2.0690582998508114</v>
      </c>
    </row>
    <row r="79" spans="1:14" x14ac:dyDescent="0.35">
      <c r="A79" s="8"/>
      <c r="B79" t="s">
        <v>83</v>
      </c>
      <c r="C79" s="7">
        <v>1.6277102864661657</v>
      </c>
      <c r="D79" s="7">
        <v>1.6277102864661657</v>
      </c>
      <c r="E79" s="7">
        <v>1.6277102864661657</v>
      </c>
      <c r="F79" s="7">
        <v>1.6277102864661657</v>
      </c>
      <c r="G79" s="7">
        <v>1.6277102864661657</v>
      </c>
      <c r="H79" s="7">
        <v>1.6277067341961784</v>
      </c>
      <c r="I79" s="7">
        <v>1.6277067999323578</v>
      </c>
      <c r="J79" s="7">
        <v>1.6277068444403429</v>
      </c>
      <c r="K79" s="7">
        <v>1.6277072518001463</v>
      </c>
      <c r="L79" s="7">
        <v>1.6277083952282729</v>
      </c>
      <c r="M79" s="7">
        <v>1.6277087410236324</v>
      </c>
    </row>
    <row r="80" spans="1:14" x14ac:dyDescent="0.35">
      <c r="A80" s="8"/>
      <c r="B80" t="s">
        <v>84</v>
      </c>
      <c r="C80" s="7">
        <v>2.9061118389954679</v>
      </c>
      <c r="D80" s="7">
        <v>2.9163190462531099</v>
      </c>
      <c r="E80" s="7">
        <v>3.0315624936299135</v>
      </c>
      <c r="F80" s="7">
        <v>2.9665875061743754</v>
      </c>
      <c r="G80" s="7">
        <v>2.9976234729340923</v>
      </c>
      <c r="H80" s="7">
        <v>3.1065862434298284</v>
      </c>
      <c r="I80" s="7">
        <v>3.1904214967818265</v>
      </c>
      <c r="J80" s="7">
        <v>3.2776800316237469</v>
      </c>
      <c r="K80" s="7">
        <v>3.7449350649944333</v>
      </c>
      <c r="L80" s="7">
        <v>3.6618099819000256</v>
      </c>
      <c r="M80" s="7">
        <v>3.7050007386544923</v>
      </c>
    </row>
    <row r="81" spans="1:14" x14ac:dyDescent="0.35">
      <c r="A81" s="8"/>
      <c r="B81" t="s">
        <v>85</v>
      </c>
      <c r="C81" s="7">
        <v>6.3071087373830164</v>
      </c>
      <c r="D81" s="7">
        <v>6.4450216213687952</v>
      </c>
      <c r="E81" s="7">
        <v>6.2534820740194483</v>
      </c>
      <c r="F81" s="7">
        <v>6.2528628785266234</v>
      </c>
      <c r="G81" s="7">
        <v>5.4502580366560123</v>
      </c>
      <c r="H81" s="7">
        <v>5.7775290799789163</v>
      </c>
      <c r="I81" s="7">
        <v>5.725038192956136</v>
      </c>
      <c r="J81" s="7">
        <v>5.6958716887432681</v>
      </c>
      <c r="K81" s="7">
        <v>5.5956150638451376</v>
      </c>
      <c r="L81" s="7">
        <v>5.6485513684624875</v>
      </c>
      <c r="M81" s="7">
        <v>5.406239738129444</v>
      </c>
    </row>
    <row r="82" spans="1:14" x14ac:dyDescent="0.35">
      <c r="A82" s="8"/>
      <c r="B82" t="s">
        <v>86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</row>
    <row r="83" spans="1:14" x14ac:dyDescent="0.35">
      <c r="A83" s="8" t="s">
        <v>67</v>
      </c>
      <c r="B83" t="s">
        <v>87</v>
      </c>
      <c r="C83" s="7">
        <v>2.6636734598908021</v>
      </c>
      <c r="D83" s="7">
        <v>2.6636734598908021</v>
      </c>
      <c r="E83" s="7">
        <v>0</v>
      </c>
      <c r="F83" s="7">
        <v>2.6525118556219325</v>
      </c>
      <c r="G83" s="7">
        <v>2.6636734598908021</v>
      </c>
      <c r="H83" s="7">
        <v>2.6226579301127204</v>
      </c>
      <c r="I83" s="7">
        <v>2.6636734598908021</v>
      </c>
      <c r="J83" s="7">
        <v>2.6636734598908021</v>
      </c>
      <c r="K83" s="7">
        <v>2.6636734598908021</v>
      </c>
      <c r="L83" s="7">
        <v>2.6636734598908021</v>
      </c>
      <c r="M83" s="7">
        <v>2.7</v>
      </c>
      <c r="N83" s="11">
        <f>AVERAGE(C83:M88)</f>
        <v>2.530145513600417</v>
      </c>
    </row>
    <row r="84" spans="1:14" x14ac:dyDescent="0.35">
      <c r="A84" s="8"/>
      <c r="B84" t="s">
        <v>88</v>
      </c>
      <c r="C84" s="7">
        <v>1.9998644227682749</v>
      </c>
      <c r="D84" s="7">
        <v>2.0063464250036476</v>
      </c>
      <c r="E84" s="7">
        <v>2.0422982688528331</v>
      </c>
      <c r="F84" s="7">
        <v>2.0685024770171059</v>
      </c>
      <c r="G84" s="7">
        <v>2.0340366541203605</v>
      </c>
      <c r="H84" s="7">
        <v>2.0603817165265736</v>
      </c>
      <c r="I84" s="7">
        <v>2.0503480116405273</v>
      </c>
      <c r="J84" s="7">
        <v>2.0331304120756415</v>
      </c>
      <c r="K84" s="7">
        <v>2.0337555147174036</v>
      </c>
      <c r="L84" s="7">
        <v>2.0337389825062075</v>
      </c>
      <c r="M84" s="7">
        <v>2.0392874608602112</v>
      </c>
    </row>
    <row r="85" spans="1:14" x14ac:dyDescent="0.35">
      <c r="A85" s="8"/>
      <c r="B85" t="s">
        <v>89</v>
      </c>
      <c r="C85" s="7">
        <v>1.6277102864661659</v>
      </c>
      <c r="D85" s="7">
        <v>1.6277102864661659</v>
      </c>
      <c r="E85" s="7">
        <v>1.6277102864661657</v>
      </c>
      <c r="F85" s="7">
        <v>1.6277102864661657</v>
      </c>
      <c r="G85" s="7">
        <v>1.6277102864661657</v>
      </c>
      <c r="H85" s="7">
        <v>1.6277102864661657</v>
      </c>
      <c r="I85" s="7">
        <v>1.6277102864661657</v>
      </c>
      <c r="J85" s="7">
        <v>1.6277102864661657</v>
      </c>
      <c r="K85" s="7">
        <v>1.6277102864661659</v>
      </c>
      <c r="L85" s="7">
        <v>1.6277102864661657</v>
      </c>
      <c r="M85" s="7">
        <v>1.6277102864661657</v>
      </c>
    </row>
    <row r="86" spans="1:14" x14ac:dyDescent="0.35">
      <c r="A86" s="8"/>
      <c r="B86" t="s">
        <v>90</v>
      </c>
      <c r="C86" s="7">
        <v>2.9061118389954683</v>
      </c>
      <c r="D86" s="7">
        <v>2.9163190462531099</v>
      </c>
      <c r="E86" s="7">
        <v>3.0315624936299135</v>
      </c>
      <c r="F86" s="7">
        <v>2.9665875061743754</v>
      </c>
      <c r="G86" s="7">
        <v>2.9976234729340918</v>
      </c>
      <c r="H86" s="7">
        <v>3.1065862434298284</v>
      </c>
      <c r="I86" s="7">
        <v>3.1904214967818265</v>
      </c>
      <c r="J86" s="7">
        <v>3.2776800316237469</v>
      </c>
      <c r="K86" s="7">
        <v>3.7449350649944333</v>
      </c>
      <c r="L86" s="7">
        <v>3.6618099819000256</v>
      </c>
      <c r="M86" s="7">
        <v>3.7050007386544923</v>
      </c>
    </row>
    <row r="87" spans="1:14" x14ac:dyDescent="0.35">
      <c r="A87" s="8"/>
      <c r="B87" t="s">
        <v>91</v>
      </c>
      <c r="C87" s="7">
        <v>6.3071087373830155</v>
      </c>
      <c r="D87" s="7">
        <v>6.4450216213687943</v>
      </c>
      <c r="E87" s="7">
        <v>6.2534820740194474</v>
      </c>
      <c r="F87" s="7">
        <v>6.2528628785266234</v>
      </c>
      <c r="G87" s="7">
        <v>5.4502580366560123</v>
      </c>
      <c r="H87" s="7">
        <v>5.7775290799789172</v>
      </c>
      <c r="I87" s="7">
        <v>5.725038192956136</v>
      </c>
      <c r="J87" s="7">
        <v>5.695871688743269</v>
      </c>
      <c r="K87" s="7">
        <v>5.5956150638451376</v>
      </c>
      <c r="L87" s="7">
        <v>5.6485513684624875</v>
      </c>
      <c r="M87" s="7">
        <v>5.406239738129444</v>
      </c>
    </row>
    <row r="88" spans="1:14" x14ac:dyDescent="0.35">
      <c r="A88" s="8"/>
      <c r="B88" t="s">
        <v>92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4" x14ac:dyDescent="0.35">
      <c r="A89" s="8" t="s">
        <v>68</v>
      </c>
      <c r="B89" t="s">
        <v>93</v>
      </c>
      <c r="C89" s="7">
        <v>2.8533195377931224</v>
      </c>
      <c r="D89" s="7">
        <v>3.0391709749622611</v>
      </c>
      <c r="E89" s="7">
        <v>3.1397897586539929</v>
      </c>
      <c r="F89" s="7">
        <v>2.6025945673001574</v>
      </c>
      <c r="G89" s="7">
        <v>2.6479887244883602</v>
      </c>
      <c r="H89" s="7">
        <v>2.6636734598908021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11">
        <f>AVERAGE(C89:M94)</f>
        <v>2.3713234719656455</v>
      </c>
    </row>
    <row r="90" spans="1:14" x14ac:dyDescent="0.35">
      <c r="A90" s="8"/>
      <c r="B90" t="s">
        <v>94</v>
      </c>
      <c r="C90" s="7">
        <v>1.9387112515550211</v>
      </c>
      <c r="D90" s="7">
        <v>1.9512425478846651</v>
      </c>
      <c r="E90" s="7">
        <v>1.9537600720346482</v>
      </c>
      <c r="F90" s="7">
        <v>1.9521126246765643</v>
      </c>
      <c r="G90" s="7">
        <v>1.959041652973798</v>
      </c>
      <c r="H90" s="7">
        <v>1.9636927092112435</v>
      </c>
      <c r="I90" s="7">
        <v>1.9694290481211725</v>
      </c>
      <c r="J90" s="7">
        <v>1.9684782040820707</v>
      </c>
      <c r="K90" s="7">
        <v>1.9726385268866475</v>
      </c>
      <c r="L90" s="7">
        <v>1.9816974042419797</v>
      </c>
      <c r="M90" s="7">
        <v>1.9829785384076852</v>
      </c>
    </row>
    <row r="91" spans="1:14" x14ac:dyDescent="0.35">
      <c r="A91" s="8"/>
      <c r="B91" t="s">
        <v>95</v>
      </c>
      <c r="C91" s="7">
        <v>1.6277102864661657</v>
      </c>
      <c r="D91" s="7">
        <v>1.6277102864661657</v>
      </c>
      <c r="E91" s="7">
        <v>1.6277102864661657</v>
      </c>
      <c r="F91" s="7">
        <v>1.6277102864661659</v>
      </c>
      <c r="G91" s="7">
        <v>1.6277102864661657</v>
      </c>
      <c r="H91" s="7">
        <v>1.6277102864661657</v>
      </c>
      <c r="I91" s="7">
        <v>1.6277102864661657</v>
      </c>
      <c r="J91" s="7">
        <v>1.6277102864661657</v>
      </c>
      <c r="K91" s="7">
        <v>1.6277102864661657</v>
      </c>
      <c r="L91" s="7">
        <v>1.6277102864661654</v>
      </c>
      <c r="M91" s="7">
        <v>1.6277102864661657</v>
      </c>
    </row>
    <row r="92" spans="1:14" x14ac:dyDescent="0.35">
      <c r="A92" s="8"/>
      <c r="B92" t="s">
        <v>96</v>
      </c>
      <c r="C92" s="7">
        <v>2.9061118389954679</v>
      </c>
      <c r="D92" s="7">
        <v>2.9163190462531099</v>
      </c>
      <c r="E92" s="7">
        <v>3.0315624936299135</v>
      </c>
      <c r="F92" s="7">
        <v>2.9665875061743754</v>
      </c>
      <c r="G92" s="7">
        <v>2.9976234729340923</v>
      </c>
      <c r="H92" s="7">
        <v>3.1065862434298279</v>
      </c>
      <c r="I92" s="7">
        <v>3.1904214967818265</v>
      </c>
      <c r="J92" s="7">
        <v>3.2776800316237469</v>
      </c>
      <c r="K92" s="7">
        <v>3.7449350649944333</v>
      </c>
      <c r="L92" s="7">
        <v>3.6618099819000256</v>
      </c>
      <c r="M92" s="7">
        <v>3.7050007386544923</v>
      </c>
    </row>
    <row r="93" spans="1:14" x14ac:dyDescent="0.35">
      <c r="A93" s="8"/>
      <c r="B93" t="s">
        <v>97</v>
      </c>
      <c r="C93" s="7">
        <v>6.3071087373830164</v>
      </c>
      <c r="D93" s="7">
        <v>6.4450216213687943</v>
      </c>
      <c r="E93" s="7">
        <v>6.2534820740194483</v>
      </c>
      <c r="F93" s="7">
        <v>6.2528628785266225</v>
      </c>
      <c r="G93" s="7">
        <v>5.4502580366560123</v>
      </c>
      <c r="H93" s="7">
        <v>5.7775290799789163</v>
      </c>
      <c r="I93" s="7">
        <v>5.7250381929561351</v>
      </c>
      <c r="J93" s="7">
        <v>5.6958716887432681</v>
      </c>
      <c r="K93" s="7">
        <v>5.5956150638451376</v>
      </c>
      <c r="L93" s="7">
        <v>5.6485513684624875</v>
      </c>
      <c r="M93" s="7">
        <v>5.406239738129444</v>
      </c>
    </row>
    <row r="94" spans="1:14" x14ac:dyDescent="0.35">
      <c r="A94" s="8"/>
      <c r="B94" t="s">
        <v>98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4" x14ac:dyDescent="0.35">
      <c r="A95" s="9" t="s">
        <v>113</v>
      </c>
      <c r="B95" t="s">
        <v>114</v>
      </c>
      <c r="C95" s="7">
        <v>2.7304122541165277</v>
      </c>
      <c r="D95" s="7">
        <v>2.6569561966199582</v>
      </c>
      <c r="E95" s="7">
        <v>2.6559874125112031</v>
      </c>
      <c r="F95" s="7">
        <v>2.7592162836349661</v>
      </c>
      <c r="G95" s="7">
        <v>2.6558184441340744</v>
      </c>
      <c r="H95" s="7">
        <v>2.7838725410462675</v>
      </c>
      <c r="I95" s="7">
        <v>2.7889252141467411</v>
      </c>
      <c r="J95" s="7">
        <v>2.8097693491181812</v>
      </c>
      <c r="K95" s="7">
        <v>2.8777097230170816</v>
      </c>
      <c r="L95" s="7">
        <v>2.9375173038079949</v>
      </c>
      <c r="M95" s="7">
        <v>2.9505839777425367</v>
      </c>
      <c r="N95" s="11">
        <f>AVERAGE(C95:M109)</f>
        <v>1.9129396677704253</v>
      </c>
    </row>
    <row r="96" spans="1:14" x14ac:dyDescent="0.35">
      <c r="A96" s="9"/>
      <c r="B96" t="s">
        <v>115</v>
      </c>
      <c r="C96" s="7">
        <v>2.7826101038918178</v>
      </c>
      <c r="D96" s="7">
        <v>2.6558158333407214</v>
      </c>
      <c r="E96" s="7">
        <v>2.6571982767935327</v>
      </c>
      <c r="F96" s="7">
        <v>2.6800012593872418</v>
      </c>
      <c r="G96" s="7">
        <v>2.8335014083190773</v>
      </c>
      <c r="H96" s="7">
        <v>2.8244007749102522</v>
      </c>
      <c r="I96" s="7">
        <v>2.818230282532479</v>
      </c>
      <c r="J96" s="7">
        <v>2.8240171680959181</v>
      </c>
      <c r="K96" s="7">
        <v>2.7909849299532952</v>
      </c>
      <c r="L96" s="7">
        <v>2.7875400897832496</v>
      </c>
      <c r="M96" s="7">
        <v>2.7658680173931343</v>
      </c>
    </row>
    <row r="97" spans="1:13" x14ac:dyDescent="0.35">
      <c r="A97" s="9"/>
      <c r="B97" t="s">
        <v>116</v>
      </c>
      <c r="C97" s="7">
        <v>8.1367679649178175</v>
      </c>
      <c r="D97" s="7">
        <v>0.16526429425136299</v>
      </c>
      <c r="E97" s="7">
        <v>-4.6458994304352093</v>
      </c>
      <c r="F97" s="7">
        <v>8.8640927177635493</v>
      </c>
      <c r="G97" s="7">
        <v>8.0415231334414266</v>
      </c>
      <c r="H97" s="7">
        <v>7.8852709115630493</v>
      </c>
      <c r="I97" s="7">
        <v>7.857749759296043</v>
      </c>
      <c r="J97" s="7">
        <v>7.3197428042233357</v>
      </c>
      <c r="K97" s="7">
        <v>7.3332675950306569</v>
      </c>
      <c r="L97" s="7">
        <v>7.2601032292655958</v>
      </c>
      <c r="M97" s="7">
        <v>7.2772285170010083</v>
      </c>
    </row>
    <row r="98" spans="1:13" x14ac:dyDescent="0.35">
      <c r="A98" s="9"/>
      <c r="B98" t="s">
        <v>117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x14ac:dyDescent="0.35">
      <c r="A99" s="9"/>
      <c r="B99" t="s">
        <v>118</v>
      </c>
      <c r="C99" s="7">
        <v>2.1109458071446117</v>
      </c>
      <c r="D99" s="7">
        <v>2.2736530727790716</v>
      </c>
      <c r="E99" s="7">
        <v>2.140995722171656</v>
      </c>
      <c r="F99" s="7">
        <v>2.0974796319794256</v>
      </c>
      <c r="G99" s="7">
        <v>2.1157206802888724</v>
      </c>
      <c r="H99" s="7">
        <v>2.0852671679289774</v>
      </c>
      <c r="I99" s="7">
        <v>2.1063895822536982</v>
      </c>
      <c r="J99" s="7">
        <v>2.0803335905863234</v>
      </c>
      <c r="K99" s="7">
        <v>1.9707198458126438</v>
      </c>
      <c r="L99" s="7">
        <v>2.0580493325355351</v>
      </c>
      <c r="M99" s="7">
        <v>2.0493592083537027</v>
      </c>
    </row>
    <row r="100" spans="1:13" x14ac:dyDescent="0.35">
      <c r="A100" s="9"/>
      <c r="B100" t="s">
        <v>119</v>
      </c>
      <c r="C100" s="7">
        <v>2.0024033178761016</v>
      </c>
      <c r="D100" s="7">
        <v>2.2732010653066022</v>
      </c>
      <c r="E100" s="7">
        <v>2.0779750350449055</v>
      </c>
      <c r="F100" s="7">
        <v>1.9939402799831742</v>
      </c>
      <c r="G100" s="7">
        <v>1.9671904202304775</v>
      </c>
      <c r="H100" s="7">
        <v>1.955512499694245</v>
      </c>
      <c r="I100" s="7">
        <v>1.9586478616289718</v>
      </c>
      <c r="J100" s="7">
        <v>1.9255650476708781</v>
      </c>
      <c r="K100" s="7">
        <v>1.9340530751660416</v>
      </c>
      <c r="L100" s="7">
        <v>1.9224483625071587</v>
      </c>
      <c r="M100" s="7">
        <v>2.0207697574790364</v>
      </c>
    </row>
    <row r="101" spans="1:13" x14ac:dyDescent="0.35">
      <c r="A101" s="9"/>
      <c r="B101" t="s">
        <v>120</v>
      </c>
      <c r="C101" s="7">
        <v>1.2223559840504092</v>
      </c>
      <c r="D101" s="7">
        <v>1.2501085752213748</v>
      </c>
      <c r="E101" s="7">
        <v>1.4477465483746395</v>
      </c>
      <c r="F101" s="7">
        <v>1.5153272475427373</v>
      </c>
      <c r="G101" s="7">
        <v>1.6884295785742773</v>
      </c>
      <c r="H101" s="7">
        <v>1.7217090006406697</v>
      </c>
      <c r="I101" s="7">
        <v>1.8933971387874435</v>
      </c>
      <c r="J101" s="7">
        <v>2.0368328456523854</v>
      </c>
      <c r="K101" s="7">
        <v>2.4826636921589409</v>
      </c>
      <c r="L101" s="7">
        <v>2.3555570759065732</v>
      </c>
      <c r="M101" s="7">
        <v>2.0876076091929425</v>
      </c>
    </row>
    <row r="102" spans="1:13" x14ac:dyDescent="0.35">
      <c r="A102" s="9"/>
      <c r="B102" t="s">
        <v>121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5">
      <c r="A103" s="9"/>
      <c r="B103" t="s">
        <v>122</v>
      </c>
      <c r="C103" s="7">
        <v>1.6277102864661657</v>
      </c>
      <c r="D103" s="7">
        <v>1.6277102864661657</v>
      </c>
      <c r="E103" s="7">
        <v>1.6277102864661657</v>
      </c>
      <c r="F103" s="7">
        <v>1.6277102864661657</v>
      </c>
      <c r="G103" s="7">
        <v>1.6277102864661657</v>
      </c>
      <c r="H103" s="7">
        <v>1.6277102864661657</v>
      </c>
      <c r="I103" s="7">
        <v>1.6277102864661659</v>
      </c>
      <c r="J103" s="7">
        <v>1.6277102864661657</v>
      </c>
      <c r="K103" s="7">
        <v>1.6277099276298344</v>
      </c>
      <c r="L103" s="7">
        <v>1.6277102662838772</v>
      </c>
      <c r="M103" s="7">
        <v>1.6277100406200065</v>
      </c>
    </row>
    <row r="104" spans="1:13" x14ac:dyDescent="0.35">
      <c r="A104" s="9"/>
      <c r="B104" t="s">
        <v>123</v>
      </c>
      <c r="C104" s="7">
        <v>1.6277102864661657</v>
      </c>
      <c r="D104" s="7">
        <v>1.6277102864661657</v>
      </c>
      <c r="E104" s="7">
        <v>1.6277102864661657</v>
      </c>
      <c r="F104" s="7">
        <v>1.6277102864661657</v>
      </c>
      <c r="G104" s="7">
        <v>1.6277102864661657</v>
      </c>
      <c r="H104" s="7">
        <v>1.6277102864661657</v>
      </c>
      <c r="I104" s="7">
        <v>1.6277102864661654</v>
      </c>
      <c r="J104" s="7">
        <v>1.6277102864661657</v>
      </c>
      <c r="K104" s="7">
        <v>1.6277099630323788</v>
      </c>
      <c r="L104" s="7">
        <v>1.6277100942403846</v>
      </c>
      <c r="M104" s="7">
        <v>1.6277100969305185</v>
      </c>
    </row>
    <row r="105" spans="1:13" x14ac:dyDescent="0.35">
      <c r="A105" s="9"/>
      <c r="B105" t="s">
        <v>124</v>
      </c>
      <c r="C105" s="7">
        <v>0</v>
      </c>
      <c r="D105" s="7">
        <v>0</v>
      </c>
      <c r="E105" s="7">
        <v>0</v>
      </c>
      <c r="F105" s="7">
        <v>0</v>
      </c>
      <c r="G105" s="7">
        <v>0.47737370663265372</v>
      </c>
      <c r="H105" s="7">
        <v>0.82899121621621696</v>
      </c>
      <c r="I105" s="7">
        <v>1.1573821176667816</v>
      </c>
      <c r="J105" s="7">
        <v>0</v>
      </c>
      <c r="K105" s="7">
        <v>0</v>
      </c>
      <c r="L105" s="7">
        <v>0.88111174245815271</v>
      </c>
      <c r="M105" s="7">
        <v>-14.919742804962098</v>
      </c>
    </row>
    <row r="106" spans="1:13" x14ac:dyDescent="0.35">
      <c r="A106" s="9"/>
      <c r="B106" t="s">
        <v>125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5">
      <c r="A107" s="9"/>
      <c r="B107" t="s">
        <v>126</v>
      </c>
      <c r="C107" s="7">
        <v>5.8690808459184689</v>
      </c>
      <c r="D107" s="7">
        <v>5.9952299745899547</v>
      </c>
      <c r="E107" s="7">
        <v>5.8637682262269628</v>
      </c>
      <c r="F107" s="7">
        <v>6.0280084523757411</v>
      </c>
      <c r="G107" s="7">
        <v>5.2271390293020925</v>
      </c>
      <c r="H107" s="7">
        <v>5.5536663484266793</v>
      </c>
      <c r="I107" s="7">
        <v>5.5148070759537839</v>
      </c>
      <c r="J107" s="7">
        <v>5.4901966138773117</v>
      </c>
      <c r="K107" s="7">
        <v>5.4301280219603489</v>
      </c>
      <c r="L107" s="7">
        <v>5.479456227358245</v>
      </c>
      <c r="M107" s="7">
        <v>5.2463183673380316</v>
      </c>
    </row>
    <row r="108" spans="1:13" x14ac:dyDescent="0.35">
      <c r="A108" s="9"/>
      <c r="B108" t="s">
        <v>127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5">
      <c r="A109" s="9"/>
      <c r="B109" t="s">
        <v>128</v>
      </c>
      <c r="C109" s="7">
        <v>4.5076218390745399</v>
      </c>
      <c r="D109" s="7">
        <v>4.4585416951991919</v>
      </c>
      <c r="E109" s="7">
        <v>4.0324979727372803</v>
      </c>
      <c r="F109" s="7">
        <v>3.54234132122845</v>
      </c>
      <c r="G109" s="7">
        <v>2.5571817329962117</v>
      </c>
      <c r="H109" s="7">
        <v>2.5664265192392</v>
      </c>
      <c r="I109" s="7">
        <v>2.4205421915912693</v>
      </c>
      <c r="J109" s="7">
        <v>3.0687996260232984</v>
      </c>
      <c r="K109" s="7">
        <v>3.5312825402317314</v>
      </c>
      <c r="L109" s="7">
        <v>3.8364328045622993</v>
      </c>
      <c r="M109" s="7">
        <v>3.8364328045622988</v>
      </c>
    </row>
    <row r="110" spans="1:13" x14ac:dyDescent="0.35">
      <c r="A110" s="3" t="s">
        <v>63</v>
      </c>
      <c r="B110" t="s">
        <v>58</v>
      </c>
      <c r="C110" s="7">
        <v>896.06969744997093</v>
      </c>
      <c r="D110" s="7">
        <v>1031.1764518177638</v>
      </c>
      <c r="E110" s="7">
        <v>1165.2750054940325</v>
      </c>
      <c r="F110" s="7">
        <v>1007.477718885893</v>
      </c>
      <c r="G110" s="7">
        <v>1020.8527496557513</v>
      </c>
      <c r="H110" s="7">
        <v>1162.511994780655</v>
      </c>
      <c r="I110" s="7">
        <v>1211.0335790044437</v>
      </c>
      <c r="J110" s="7">
        <v>1245.0191735141257</v>
      </c>
      <c r="K110" s="7">
        <v>1295.4872418250718</v>
      </c>
      <c r="L110" s="7">
        <v>1278.3841742194377</v>
      </c>
      <c r="M110" s="7">
        <v>1238.7590447233804</v>
      </c>
    </row>
    <row r="111" spans="1:13" x14ac:dyDescent="0.35">
      <c r="A111" s="3"/>
      <c r="B111" t="s">
        <v>59</v>
      </c>
      <c r="C111" s="7">
        <v>45225.696795549273</v>
      </c>
      <c r="D111" s="7">
        <v>52975.786875055972</v>
      </c>
      <c r="E111" s="7">
        <v>54048.281585030607</v>
      </c>
      <c r="F111" s="7">
        <v>52229.084170493901</v>
      </c>
      <c r="G111" s="7">
        <v>51187.980007040169</v>
      </c>
      <c r="H111" s="7">
        <v>51101.873436679678</v>
      </c>
      <c r="I111" s="7">
        <v>52382.223790846583</v>
      </c>
      <c r="J111" s="7">
        <v>52975.849273778171</v>
      </c>
      <c r="K111" s="7">
        <v>52506.880574390576</v>
      </c>
      <c r="L111" s="7">
        <v>54235.438968543625</v>
      </c>
      <c r="M111" s="7">
        <v>52954.048904608426</v>
      </c>
    </row>
    <row r="112" spans="1:13" x14ac:dyDescent="0.35">
      <c r="A112" s="3"/>
      <c r="B112" t="s">
        <v>60</v>
      </c>
      <c r="C112" s="7">
        <v>3068.0305736821888</v>
      </c>
      <c r="D112" s="7">
        <v>3280.2923248304824</v>
      </c>
      <c r="E112" s="7">
        <v>3561.7295289613148</v>
      </c>
      <c r="F112" s="7">
        <v>3847.1557160406592</v>
      </c>
      <c r="G112" s="7">
        <v>4157.3521682600813</v>
      </c>
      <c r="H112" s="7">
        <v>4398.073048005951</v>
      </c>
      <c r="I112" s="7">
        <v>4556.2942694877811</v>
      </c>
      <c r="J112" s="7">
        <v>4826.1057437641157</v>
      </c>
      <c r="K112" s="7">
        <v>5125.1650903549171</v>
      </c>
      <c r="L112" s="7">
        <v>5449.6513625385505</v>
      </c>
      <c r="M112" s="7">
        <v>5456.8364040614706</v>
      </c>
    </row>
    <row r="113" spans="1:13" x14ac:dyDescent="0.35">
      <c r="A113" s="3"/>
      <c r="B113" t="s">
        <v>61</v>
      </c>
      <c r="C113" s="7">
        <v>2830.2536116558204</v>
      </c>
      <c r="D113" s="7">
        <v>3304.2641151458956</v>
      </c>
      <c r="E113" s="7">
        <v>3586.04494172352</v>
      </c>
      <c r="F113" s="7">
        <v>3944.3166212843935</v>
      </c>
      <c r="G113" s="7">
        <v>3518.7246149419207</v>
      </c>
      <c r="H113" s="7">
        <v>3916.4575394350932</v>
      </c>
      <c r="I113" s="7">
        <v>4244.721555480789</v>
      </c>
      <c r="J113" s="7">
        <v>4697.9092130282625</v>
      </c>
      <c r="K113" s="7">
        <v>5296.9482856923414</v>
      </c>
      <c r="L113" s="7">
        <v>5701.3057696489786</v>
      </c>
      <c r="M113" s="7">
        <v>5449.1911002733696</v>
      </c>
    </row>
    <row r="114" spans="1:13" x14ac:dyDescent="0.35">
      <c r="A114" s="3"/>
      <c r="B114" t="s">
        <v>62</v>
      </c>
      <c r="C114" s="7">
        <v>4340.0011633495978</v>
      </c>
      <c r="D114" s="7">
        <v>4601.822459829451</v>
      </c>
      <c r="E114" s="7">
        <v>5141.2823133028623</v>
      </c>
      <c r="F114" s="7">
        <v>5721.3414700163485</v>
      </c>
      <c r="G114" s="7">
        <v>4968.3665001821082</v>
      </c>
      <c r="H114" s="7">
        <v>5495.8939322158658</v>
      </c>
      <c r="I114" s="7">
        <v>6131.8514774015748</v>
      </c>
      <c r="J114" s="7">
        <v>6706.6739885673942</v>
      </c>
      <c r="K114" s="7">
        <v>7277.5216677250637</v>
      </c>
      <c r="L114" s="7">
        <v>7431.5508059581352</v>
      </c>
      <c r="M114" s="7">
        <v>7534.4887983739391</v>
      </c>
    </row>
    <row r="115" spans="1:13" x14ac:dyDescent="0.35">
      <c r="A115" s="3"/>
      <c r="B115" t="s">
        <v>129</v>
      </c>
      <c r="C115" s="7">
        <v>29566.162662959134</v>
      </c>
      <c r="D115" s="7">
        <v>38860.296193528877</v>
      </c>
      <c r="E115" s="7">
        <v>40659.789055342335</v>
      </c>
      <c r="F115" s="7">
        <v>36054.759112195723</v>
      </c>
      <c r="G115" s="7">
        <v>31568.955074728918</v>
      </c>
      <c r="H115" s="7">
        <v>34161.920463121525</v>
      </c>
      <c r="I115" s="7">
        <v>35987.833230432785</v>
      </c>
      <c r="J115" s="7">
        <v>38061.876100545269</v>
      </c>
      <c r="K115" s="7">
        <v>39927.743174442076</v>
      </c>
      <c r="L115" s="7">
        <v>39346.135206421008</v>
      </c>
      <c r="M115" s="7">
        <v>38859.61645329879</v>
      </c>
    </row>
    <row r="116" spans="1:13" x14ac:dyDescent="0.35">
      <c r="A116" s="9" t="s">
        <v>130</v>
      </c>
      <c r="B116" t="s">
        <v>131</v>
      </c>
      <c r="C116" s="7">
        <v>25490.288725982315</v>
      </c>
      <c r="D116" s="7">
        <v>29146.790380365725</v>
      </c>
      <c r="E116" s="7">
        <v>30303.289665711851</v>
      </c>
      <c r="F116" s="7">
        <v>32937.201275627711</v>
      </c>
      <c r="G116" s="7">
        <v>29432.519981272751</v>
      </c>
      <c r="H116" s="7">
        <v>31512.687244285684</v>
      </c>
      <c r="I116" s="7">
        <v>33526.750093940791</v>
      </c>
      <c r="J116" s="7">
        <v>33286.239334949707</v>
      </c>
      <c r="K116" s="7">
        <v>33525.24818822222</v>
      </c>
      <c r="L116" s="7">
        <v>34180.688887573197</v>
      </c>
      <c r="M116" s="7">
        <v>33356.452600540957</v>
      </c>
    </row>
    <row r="117" spans="1:13" x14ac:dyDescent="0.35">
      <c r="A117" s="9"/>
      <c r="B117" t="s">
        <v>132</v>
      </c>
      <c r="C117" s="7">
        <v>5122.6868836167423</v>
      </c>
      <c r="D117" s="7">
        <v>5270.8001429816804</v>
      </c>
      <c r="E117" s="7">
        <v>5701.0397187041644</v>
      </c>
      <c r="F117" s="7">
        <v>5779.4800939163388</v>
      </c>
      <c r="G117" s="7">
        <v>6256.4056559076007</v>
      </c>
      <c r="H117" s="7">
        <v>6517.9490562609071</v>
      </c>
      <c r="I117" s="7">
        <v>6292.0135660946116</v>
      </c>
      <c r="J117" s="7">
        <v>6888.2048103539692</v>
      </c>
      <c r="K117" s="7">
        <v>7889.447388859171</v>
      </c>
      <c r="L117" s="7">
        <v>7657.1551418960562</v>
      </c>
      <c r="M117" s="7">
        <v>7700.6940711417437</v>
      </c>
    </row>
    <row r="118" spans="1:13" x14ac:dyDescent="0.35">
      <c r="A118" s="9"/>
      <c r="B118" t="s">
        <v>133</v>
      </c>
      <c r="C118" s="7">
        <v>-5260.1528430624039</v>
      </c>
      <c r="D118" s="7">
        <v>26.567253838872318</v>
      </c>
      <c r="E118" s="7">
        <v>-259.66472202162561</v>
      </c>
      <c r="F118" s="7">
        <v>-7898.376507539745</v>
      </c>
      <c r="G118" s="7">
        <v>-9326.5343411475478</v>
      </c>
      <c r="H118" s="7">
        <v>-9466.976315527545</v>
      </c>
      <c r="I118" s="7">
        <v>-9916.1382473906287</v>
      </c>
      <c r="J118" s="7">
        <v>-11172.622518980625</v>
      </c>
      <c r="K118" s="7">
        <v>-13151.730362200075</v>
      </c>
      <c r="L118" s="7">
        <v>-15814.923480374613</v>
      </c>
      <c r="M118" s="7">
        <v>-15426.873664770999</v>
      </c>
    </row>
    <row r="119" spans="1:13" x14ac:dyDescent="0.35">
      <c r="A119" s="9"/>
      <c r="B119" t="s">
        <v>134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</row>
    <row r="120" spans="1:13" x14ac:dyDescent="0.35">
      <c r="A120" s="9"/>
      <c r="B120" t="s">
        <v>135</v>
      </c>
      <c r="C120" s="7">
        <v>10.407380432389015</v>
      </c>
      <c r="D120" s="7">
        <v>15.514120428634767</v>
      </c>
      <c r="E120" s="7">
        <v>11.322054657573855</v>
      </c>
      <c r="F120" s="7">
        <v>8.5687334359554814</v>
      </c>
      <c r="G120" s="7">
        <v>4.9597410891828373</v>
      </c>
      <c r="H120" s="7">
        <v>4.9062175802873522</v>
      </c>
      <c r="I120" s="7">
        <v>4.0237108969752127</v>
      </c>
      <c r="J120" s="7">
        <v>4.8738145120815126</v>
      </c>
      <c r="K120" s="7">
        <v>13.723805951867575</v>
      </c>
      <c r="L120" s="7">
        <v>17.481574711385967</v>
      </c>
      <c r="M120" s="7">
        <v>14.590678888246222</v>
      </c>
    </row>
    <row r="121" spans="1:13" x14ac:dyDescent="0.35">
      <c r="A121" s="9"/>
      <c r="B121" t="s">
        <v>136</v>
      </c>
      <c r="C121" s="7">
        <v>8.1566029302440075</v>
      </c>
      <c r="D121" s="7">
        <v>11.828079132228961</v>
      </c>
      <c r="E121" s="7">
        <v>7.7250858750744094</v>
      </c>
      <c r="F121" s="7">
        <v>9.6981680064588325</v>
      </c>
      <c r="G121" s="7">
        <v>4.3760885132765974</v>
      </c>
      <c r="H121" s="7">
        <v>4.2752361958295246</v>
      </c>
      <c r="I121" s="7">
        <v>3.0638323755617227</v>
      </c>
      <c r="J121" s="7">
        <v>8.4761794080820625</v>
      </c>
      <c r="K121" s="7">
        <v>26.305610833693716</v>
      </c>
      <c r="L121" s="7">
        <v>23.693996794785146</v>
      </c>
      <c r="M121" s="7">
        <v>18.930852662316482</v>
      </c>
    </row>
    <row r="122" spans="1:13" x14ac:dyDescent="0.35">
      <c r="A122" s="9"/>
      <c r="B122" t="s">
        <v>137</v>
      </c>
      <c r="C122" s="7">
        <v>180.42070615823764</v>
      </c>
      <c r="D122" s="7">
        <v>144.0908580128621</v>
      </c>
      <c r="E122" s="7">
        <v>282.45058217894052</v>
      </c>
      <c r="F122" s="7">
        <v>234.99702343846502</v>
      </c>
      <c r="G122" s="7">
        <v>358.06789524893929</v>
      </c>
      <c r="H122" s="7">
        <v>273.17153544692519</v>
      </c>
      <c r="I122" s="7">
        <v>344.7463594568012</v>
      </c>
      <c r="J122" s="7">
        <v>299.83828380879504</v>
      </c>
      <c r="K122" s="7">
        <v>473.96618469129044</v>
      </c>
      <c r="L122" s="7">
        <v>589.79937017186467</v>
      </c>
      <c r="M122" s="7">
        <v>530.21663181238625</v>
      </c>
    </row>
    <row r="123" spans="1:13" x14ac:dyDescent="0.35">
      <c r="A123" s="9"/>
      <c r="B123" t="s">
        <v>138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</row>
    <row r="124" spans="1:13" x14ac:dyDescent="0.35">
      <c r="A124" s="9"/>
      <c r="B124" t="s">
        <v>139</v>
      </c>
      <c r="C124" s="7">
        <v>528.00805669590011</v>
      </c>
      <c r="D124" s="7">
        <v>778.48174328760012</v>
      </c>
      <c r="E124" s="7">
        <v>951.45363229950033</v>
      </c>
      <c r="F124" s="7">
        <v>914.43461725440022</v>
      </c>
      <c r="G124" s="7">
        <v>790.17195856500018</v>
      </c>
      <c r="H124" s="7">
        <v>1252.3684329585003</v>
      </c>
      <c r="I124" s="7">
        <v>1287.2225933226005</v>
      </c>
      <c r="J124" s="7">
        <v>2452.5638681049004</v>
      </c>
      <c r="K124" s="7">
        <v>2503.8786017559605</v>
      </c>
      <c r="L124" s="7">
        <v>2414.9121516610203</v>
      </c>
      <c r="M124" s="7">
        <v>1766.9907797850003</v>
      </c>
    </row>
    <row r="125" spans="1:13" x14ac:dyDescent="0.35">
      <c r="A125" s="9"/>
      <c r="B125" t="s">
        <v>140</v>
      </c>
      <c r="C125" s="7">
        <v>61.265387472300013</v>
      </c>
      <c r="D125" s="7">
        <v>67.32698057910001</v>
      </c>
      <c r="E125" s="7">
        <v>9.5253605964000023</v>
      </c>
      <c r="F125" s="7">
        <v>27.926625384900003</v>
      </c>
      <c r="G125" s="7">
        <v>45.461948301000014</v>
      </c>
      <c r="H125" s="7">
        <v>80.099623197000028</v>
      </c>
      <c r="I125" s="7">
        <v>139.84961239260002</v>
      </c>
      <c r="J125" s="7">
        <v>202.19742720540003</v>
      </c>
      <c r="K125" s="7">
        <v>393.1060194864001</v>
      </c>
      <c r="L125" s="7">
        <v>402.36953813496007</v>
      </c>
      <c r="M125" s="7">
        <v>396.90019848402</v>
      </c>
    </row>
    <row r="126" spans="1:13" x14ac:dyDescent="0.35">
      <c r="A126" s="9"/>
      <c r="B126" t="s">
        <v>141</v>
      </c>
      <c r="C126" s="7">
        <v>0</v>
      </c>
      <c r="D126" s="7">
        <v>0</v>
      </c>
      <c r="E126" s="7">
        <v>0</v>
      </c>
      <c r="F126" s="7">
        <v>0</v>
      </c>
      <c r="G126" s="7">
        <v>0.19087310286000037</v>
      </c>
      <c r="H126" s="7">
        <v>9.7171034400000078E-2</v>
      </c>
      <c r="I126" s="7">
        <v>6.9049417140000235E-2</v>
      </c>
      <c r="J126" s="7">
        <v>0</v>
      </c>
      <c r="K126" s="7">
        <v>0</v>
      </c>
      <c r="L126" s="7">
        <v>0.23622958260000049</v>
      </c>
      <c r="M126" s="7">
        <v>-2.1648546810000004</v>
      </c>
    </row>
    <row r="127" spans="1:13" x14ac:dyDescent="0.35">
      <c r="A127" s="9"/>
      <c r="B127" t="s">
        <v>142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</row>
    <row r="128" spans="1:13" x14ac:dyDescent="0.35">
      <c r="A128" s="9"/>
      <c r="B128" t="s">
        <v>145</v>
      </c>
      <c r="C128" s="7">
        <v>1402.5872280506162</v>
      </c>
      <c r="D128" s="7">
        <v>1488.0689323037641</v>
      </c>
      <c r="E128" s="7">
        <v>1558.5649905153903</v>
      </c>
      <c r="F128" s="7">
        <v>1639.1132933752758</v>
      </c>
      <c r="G128" s="7">
        <v>1914.2691824764834</v>
      </c>
      <c r="H128" s="7">
        <v>1810.9297938580339</v>
      </c>
      <c r="I128" s="7">
        <v>2076.3475479127087</v>
      </c>
      <c r="J128" s="7">
        <v>2723.5411135524082</v>
      </c>
      <c r="K128" s="7">
        <v>3788.8180794090613</v>
      </c>
      <c r="L128" s="7">
        <v>4698.1502423951169</v>
      </c>
      <c r="M128" s="7">
        <v>5052.565985701508</v>
      </c>
    </row>
    <row r="129" spans="1:13" x14ac:dyDescent="0.35">
      <c r="A129" s="9"/>
      <c r="B129" t="s">
        <v>143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</row>
    <row r="130" spans="1:13" x14ac:dyDescent="0.35">
      <c r="A130" s="9"/>
      <c r="B130" t="s">
        <v>144</v>
      </c>
      <c r="C130" s="7">
        <v>2022.494534682794</v>
      </c>
      <c r="D130" s="7">
        <v>1910.8277025984055</v>
      </c>
      <c r="E130" s="7">
        <v>2094.0826868250551</v>
      </c>
      <c r="F130" s="7">
        <v>2401.7157892959649</v>
      </c>
      <c r="G130" s="7">
        <v>2089.0660913993761</v>
      </c>
      <c r="H130" s="7">
        <v>2172.4124678315052</v>
      </c>
      <c r="I130" s="7">
        <v>2229.8851120136251</v>
      </c>
      <c r="J130" s="7">
        <v>3368.5637876305545</v>
      </c>
      <c r="K130" s="7">
        <v>4464.9796574324891</v>
      </c>
      <c r="L130" s="7">
        <v>5176.571553874629</v>
      </c>
      <c r="M130" s="7">
        <v>5451.3131737346112</v>
      </c>
    </row>
    <row r="131" spans="1:13" x14ac:dyDescent="0.35">
      <c r="A131" s="5" t="s">
        <v>147</v>
      </c>
      <c r="B131" t="s">
        <v>148</v>
      </c>
      <c r="C131" s="7">
        <v>17982.693769569978</v>
      </c>
      <c r="D131" s="7">
        <v>21012.329657998143</v>
      </c>
      <c r="E131" s="7">
        <v>21174.771511904954</v>
      </c>
      <c r="F131" s="7">
        <v>21223.473614565821</v>
      </c>
      <c r="G131" s="7">
        <v>20543.236004181847</v>
      </c>
      <c r="H131" s="7">
        <v>20859.108377744113</v>
      </c>
      <c r="I131" s="7">
        <v>21450.192454618827</v>
      </c>
      <c r="J131" s="7">
        <v>21061.46870905894</v>
      </c>
      <c r="K131" s="7">
        <v>20652.086988407213</v>
      </c>
      <c r="L131" s="7">
        <v>21069.322352821939</v>
      </c>
      <c r="M131" s="7">
        <v>20292.669091487325</v>
      </c>
    </row>
    <row r="132" spans="1:13" x14ac:dyDescent="0.35">
      <c r="A132" s="5"/>
      <c r="B132" t="s">
        <v>149</v>
      </c>
      <c r="C132" s="7">
        <v>3748.3574068392713</v>
      </c>
      <c r="D132" s="7">
        <v>3748.1874197125494</v>
      </c>
      <c r="E132" s="7">
        <v>4295.9506031763813</v>
      </c>
      <c r="F132" s="7">
        <v>4094.5802170245943</v>
      </c>
      <c r="G132" s="7">
        <v>4426.0775239610957</v>
      </c>
      <c r="H132" s="7">
        <v>4476.0044550687144</v>
      </c>
      <c r="I132" s="7">
        <v>4588.3537322424572</v>
      </c>
      <c r="J132" s="7">
        <v>4514.0092812129715</v>
      </c>
      <c r="K132" s="7">
        <v>4712.8383522246595</v>
      </c>
      <c r="L132" s="7">
        <v>4731.9630939090966</v>
      </c>
      <c r="M132" s="7">
        <v>4699.9041896183726</v>
      </c>
    </row>
    <row r="133" spans="1:13" x14ac:dyDescent="0.35">
      <c r="A133" s="5"/>
      <c r="B133" t="s">
        <v>150</v>
      </c>
      <c r="C133" s="7">
        <v>959.19095200000015</v>
      </c>
      <c r="D133" s="7">
        <v>1246.41308</v>
      </c>
      <c r="E133" s="7">
        <v>1504.3685799999998</v>
      </c>
      <c r="F133" s="7">
        <v>1654.8918560000002</v>
      </c>
      <c r="G133" s="7">
        <v>1698.284052</v>
      </c>
      <c r="H133" s="7">
        <v>2193.5833200000002</v>
      </c>
      <c r="I133" s="7">
        <v>2295.7225880000001</v>
      </c>
      <c r="J133" s="7">
        <v>3158.993712</v>
      </c>
      <c r="K133" s="7">
        <v>3669.6838400000001</v>
      </c>
      <c r="L133" s="7">
        <v>3827.9592040000002</v>
      </c>
      <c r="M133" s="7">
        <v>3707.4125960000006</v>
      </c>
    </row>
    <row r="134" spans="1:13" x14ac:dyDescent="0.35">
      <c r="A134" s="5"/>
      <c r="B134" t="s">
        <v>151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5">
      <c r="A135" s="5"/>
      <c r="B135" t="s">
        <v>152</v>
      </c>
      <c r="C135" s="7">
        <v>238.97902667774915</v>
      </c>
      <c r="D135" s="7">
        <v>248.20881577700294</v>
      </c>
      <c r="E135" s="7">
        <v>265.79580406066759</v>
      </c>
      <c r="F135" s="7">
        <v>271.91622346336845</v>
      </c>
      <c r="G135" s="7">
        <v>366.21738426040474</v>
      </c>
      <c r="H135" s="7">
        <v>326.07824817763128</v>
      </c>
      <c r="I135" s="7">
        <v>376.50411325651044</v>
      </c>
      <c r="J135" s="7">
        <v>496.07351158758894</v>
      </c>
      <c r="K135" s="7">
        <v>697.74010190670367</v>
      </c>
      <c r="L135" s="7">
        <v>857.41176632415375</v>
      </c>
      <c r="M135" s="7">
        <v>963.06888601294827</v>
      </c>
    </row>
    <row r="136" spans="1:13" x14ac:dyDescent="0.35">
      <c r="A136" s="5"/>
      <c r="B136" t="s">
        <v>153</v>
      </c>
      <c r="C136" s="7">
        <v>161.41</v>
      </c>
      <c r="D136" s="7">
        <v>176.31</v>
      </c>
      <c r="E136" s="7">
        <v>239.02999999999997</v>
      </c>
      <c r="F136" s="7">
        <v>280.24</v>
      </c>
      <c r="G136" s="7">
        <v>319.75</v>
      </c>
      <c r="H136" s="7">
        <v>332.36</v>
      </c>
      <c r="I136" s="7">
        <v>315.96999999999997</v>
      </c>
      <c r="J136" s="7">
        <v>341.66</v>
      </c>
      <c r="K136" s="7">
        <v>376.37</v>
      </c>
      <c r="L136" s="7">
        <v>391.53000000000003</v>
      </c>
      <c r="M136" s="7">
        <v>354.01</v>
      </c>
    </row>
    <row r="137" spans="1:13" x14ac:dyDescent="0.35">
      <c r="A137" s="5"/>
      <c r="B137" t="s">
        <v>154</v>
      </c>
      <c r="C137" s="7">
        <v>448.68327621245896</v>
      </c>
      <c r="D137" s="7">
        <v>428.57683817467057</v>
      </c>
      <c r="E137" s="7">
        <v>519.30160932073102</v>
      </c>
      <c r="F137" s="7">
        <v>678.00236383293327</v>
      </c>
      <c r="G137" s="7">
        <v>816.94080027376401</v>
      </c>
      <c r="H137" s="7">
        <v>846.473667391616</v>
      </c>
      <c r="I137" s="7">
        <v>921.2337300956915</v>
      </c>
      <c r="J137" s="7">
        <v>1097.6812428759663</v>
      </c>
      <c r="K137" s="7">
        <v>1264.4073666049633</v>
      </c>
      <c r="L137" s="7">
        <v>1349.3189683183377</v>
      </c>
      <c r="M137" s="7">
        <v>1420.9327913294587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63E0-5FF8-426C-99CE-D0F41DAA0D64}">
  <dimension ref="A1:K20"/>
  <sheetViews>
    <sheetView zoomScale="115" zoomScaleNormal="115" workbookViewId="0">
      <selection activeCell="A20" sqref="A20:K20"/>
    </sheetView>
  </sheetViews>
  <sheetFormatPr defaultRowHeight="14.15" x14ac:dyDescent="0.35"/>
  <sheetData>
    <row r="1" spans="1:11" x14ac:dyDescent="0.35">
      <c r="B1">
        <v>1</v>
      </c>
      <c r="C1" s="7">
        <v>7869.34</v>
      </c>
      <c r="F1">
        <v>2010</v>
      </c>
    </row>
    <row r="2" spans="1:11" x14ac:dyDescent="0.35">
      <c r="B2">
        <v>2</v>
      </c>
      <c r="C2" s="7">
        <v>8022.99</v>
      </c>
      <c r="F2">
        <v>2011</v>
      </c>
    </row>
    <row r="3" spans="1:11" x14ac:dyDescent="0.35">
      <c r="B3">
        <v>3</v>
      </c>
      <c r="C3" s="7">
        <v>8119.81</v>
      </c>
      <c r="F3">
        <v>2012</v>
      </c>
    </row>
    <row r="4" spans="1:11" x14ac:dyDescent="0.35">
      <c r="B4">
        <v>4</v>
      </c>
      <c r="C4" s="7">
        <v>8192.44</v>
      </c>
      <c r="F4">
        <v>2013</v>
      </c>
    </row>
    <row r="5" spans="1:11" x14ac:dyDescent="0.35">
      <c r="B5">
        <v>5</v>
      </c>
      <c r="C5" s="7">
        <v>8281.09</v>
      </c>
      <c r="F5">
        <v>2014</v>
      </c>
    </row>
    <row r="6" spans="1:11" x14ac:dyDescent="0.35">
      <c r="B6">
        <v>6</v>
      </c>
      <c r="C6" s="7">
        <v>8315.11</v>
      </c>
      <c r="F6">
        <v>2015</v>
      </c>
    </row>
    <row r="7" spans="1:11" x14ac:dyDescent="0.35">
      <c r="B7">
        <v>7</v>
      </c>
      <c r="C7" s="7">
        <v>8381.4699999999993</v>
      </c>
      <c r="F7">
        <v>2016</v>
      </c>
    </row>
    <row r="8" spans="1:11" x14ac:dyDescent="0.35">
      <c r="B8">
        <v>8</v>
      </c>
      <c r="C8" s="7">
        <v>8423.5</v>
      </c>
      <c r="F8">
        <v>2017</v>
      </c>
    </row>
    <row r="9" spans="1:11" x14ac:dyDescent="0.35">
      <c r="B9">
        <v>9</v>
      </c>
      <c r="C9" s="7">
        <v>8446.19</v>
      </c>
      <c r="F9">
        <v>2018</v>
      </c>
    </row>
    <row r="10" spans="1:11" x14ac:dyDescent="0.35">
      <c r="B10">
        <v>10</v>
      </c>
      <c r="C10" s="7">
        <v>8469.09</v>
      </c>
      <c r="F10">
        <v>2019</v>
      </c>
    </row>
    <row r="11" spans="1:11" x14ac:dyDescent="0.35">
      <c r="B11">
        <v>11</v>
      </c>
      <c r="C11" s="7">
        <v>8477.26</v>
      </c>
      <c r="F11">
        <v>2020</v>
      </c>
    </row>
    <row r="14" spans="1:11" x14ac:dyDescent="0.35">
      <c r="A14" s="7">
        <v>2409.2399999999998</v>
      </c>
      <c r="B14" s="7">
        <v>2736.8614125208005</v>
      </c>
      <c r="C14" s="7">
        <v>3057.8233605800315</v>
      </c>
      <c r="D14" s="7">
        <v>3228.5388081178899</v>
      </c>
      <c r="E14" s="7">
        <v>3358.6132174804734</v>
      </c>
      <c r="F14" s="7">
        <v>3636.0807225447766</v>
      </c>
      <c r="G14" s="7">
        <v>3690.6095946200162</v>
      </c>
      <c r="H14" s="7">
        <v>3568.5411882893677</v>
      </c>
      <c r="I14" s="7">
        <v>3591.607576823078</v>
      </c>
      <c r="J14" s="7">
        <v>3726.6074532802345</v>
      </c>
      <c r="K14" s="7">
        <v>3916.8118050867261</v>
      </c>
    </row>
    <row r="15" spans="1:11" x14ac:dyDescent="0.35">
      <c r="A15" s="7">
        <v>904.64591326716584</v>
      </c>
      <c r="B15" s="7">
        <v>947.43086678208431</v>
      </c>
      <c r="C15" s="7">
        <v>1121.1452841695886</v>
      </c>
      <c r="D15" s="7">
        <v>1065.4463329487814</v>
      </c>
      <c r="E15" s="7">
        <v>1149.8180915741766</v>
      </c>
      <c r="F15" s="7">
        <v>1357.6276321142677</v>
      </c>
      <c r="G15" s="7">
        <v>1417.9030175713965</v>
      </c>
      <c r="H15" s="7">
        <v>1526.9840992805512</v>
      </c>
      <c r="I15" s="7">
        <v>1604.5602737872225</v>
      </c>
      <c r="J15" s="7">
        <v>1692.6975970583808</v>
      </c>
      <c r="K15" s="7">
        <v>1660.679968048458</v>
      </c>
    </row>
    <row r="16" spans="1:11" x14ac:dyDescent="0.35">
      <c r="A16" s="7">
        <v>20948.954086732832</v>
      </c>
      <c r="B16" s="7">
        <v>22792.530574168741</v>
      </c>
      <c r="C16" s="7">
        <v>24491.764368781365</v>
      </c>
      <c r="D16" s="7">
        <v>26232.684685307337</v>
      </c>
      <c r="E16" s="7">
        <v>27757.717643702319</v>
      </c>
      <c r="F16" s="7">
        <v>29342.782383445137</v>
      </c>
      <c r="G16" s="7">
        <v>30595.119280383955</v>
      </c>
      <c r="H16" s="7">
        <v>32987.348582285544</v>
      </c>
      <c r="I16" s="7">
        <v>34929.181706888121</v>
      </c>
      <c r="J16" s="7">
        <v>36037.446768118658</v>
      </c>
      <c r="K16" s="7">
        <v>36522.545604797502</v>
      </c>
    </row>
    <row r="17" spans="1:11" x14ac:dyDescent="0.35">
      <c r="A17" s="7">
        <v>1767.2244526295203</v>
      </c>
      <c r="B17" s="7">
        <v>1988.4262206316955</v>
      </c>
      <c r="C17" s="7">
        <v>2199.509572632076</v>
      </c>
      <c r="D17" s="7">
        <v>2233.9371146267172</v>
      </c>
      <c r="E17" s="7">
        <v>2378.9254391352206</v>
      </c>
      <c r="F17" s="7">
        <v>2240.3946966940161</v>
      </c>
      <c r="G17" s="7">
        <v>2316.4302171744971</v>
      </c>
      <c r="H17" s="7">
        <v>2420.1691852398749</v>
      </c>
      <c r="I17" s="7">
        <v>2570.6767052280575</v>
      </c>
      <c r="J17" s="7">
        <v>2749.0802061606855</v>
      </c>
      <c r="K17" s="7">
        <v>2761.5106468268996</v>
      </c>
    </row>
    <row r="18" spans="1:11" x14ac:dyDescent="0.35">
      <c r="A18" s="7">
        <v>15353.805547370479</v>
      </c>
      <c r="B18" s="7">
        <v>17487.40092589668</v>
      </c>
      <c r="C18" s="7">
        <v>19789.957413836935</v>
      </c>
      <c r="D18" s="7">
        <v>22819.503058999268</v>
      </c>
      <c r="E18" s="7">
        <v>25714.355608107813</v>
      </c>
      <c r="F18" s="7">
        <v>28975.114565201806</v>
      </c>
      <c r="G18" s="7">
        <v>32645.644719141445</v>
      </c>
      <c r="H18" s="7">
        <v>35249.158437187485</v>
      </c>
      <c r="I18" s="7">
        <v>38131.685671985484</v>
      </c>
      <c r="J18" s="7">
        <v>41350.301849432944</v>
      </c>
      <c r="K18" s="7">
        <v>43821.66660397379</v>
      </c>
    </row>
    <row r="19" spans="1:11" x14ac:dyDescent="0.35">
      <c r="A19" s="11">
        <f>SUM(A14:A18)</f>
        <v>41383.869999999995</v>
      </c>
      <c r="B19" s="11">
        <f t="shared" ref="B19:K19" si="0">SUM(B14:B18)</f>
        <v>45952.65</v>
      </c>
      <c r="C19" s="11">
        <f t="shared" si="0"/>
        <v>50660.2</v>
      </c>
      <c r="D19" s="11">
        <f t="shared" si="0"/>
        <v>55580.109999999993</v>
      </c>
      <c r="E19" s="11">
        <f t="shared" si="0"/>
        <v>60359.43</v>
      </c>
      <c r="F19" s="11">
        <f t="shared" si="0"/>
        <v>65552</v>
      </c>
      <c r="G19" s="11">
        <f t="shared" si="0"/>
        <v>70665.706828891314</v>
      </c>
      <c r="H19" s="11">
        <f t="shared" si="0"/>
        <v>75752.201492282824</v>
      </c>
      <c r="I19" s="11">
        <f t="shared" si="0"/>
        <v>80827.711934711959</v>
      </c>
      <c r="J19" s="11">
        <f t="shared" si="0"/>
        <v>85556.133874050895</v>
      </c>
      <c r="K19" s="11">
        <f t="shared" si="0"/>
        <v>88683.214628733374</v>
      </c>
    </row>
    <row r="20" spans="1:11" x14ac:dyDescent="0.35">
      <c r="A20">
        <v>41383.869999999995</v>
      </c>
      <c r="B20">
        <v>45952.65</v>
      </c>
      <c r="C20">
        <v>50660.2</v>
      </c>
      <c r="D20">
        <v>55580.109999999993</v>
      </c>
      <c r="E20">
        <v>60359.43</v>
      </c>
      <c r="F20">
        <v>65552</v>
      </c>
      <c r="G20">
        <v>70665.706828891314</v>
      </c>
      <c r="H20">
        <v>75752.201492282824</v>
      </c>
      <c r="I20">
        <v>80827.711934711959</v>
      </c>
      <c r="J20">
        <v>85556.133874050895</v>
      </c>
      <c r="K20">
        <v>88683.214628733374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792E-27C1-462F-97D7-5795E573E861}">
  <dimension ref="A1:B51"/>
  <sheetViews>
    <sheetView workbookViewId="0">
      <selection activeCell="B44" sqref="B44"/>
    </sheetView>
  </sheetViews>
  <sheetFormatPr defaultRowHeight="14.15" x14ac:dyDescent="0.35"/>
  <sheetData>
    <row r="1" spans="1:2" x14ac:dyDescent="0.35">
      <c r="A1">
        <v>1</v>
      </c>
      <c r="B1">
        <v>2010</v>
      </c>
    </row>
    <row r="2" spans="1:2" x14ac:dyDescent="0.35">
      <c r="A2">
        <v>2</v>
      </c>
      <c r="B2">
        <v>2011</v>
      </c>
    </row>
    <row r="3" spans="1:2" x14ac:dyDescent="0.35">
      <c r="A3">
        <v>3</v>
      </c>
      <c r="B3">
        <v>2012</v>
      </c>
    </row>
    <row r="4" spans="1:2" x14ac:dyDescent="0.35">
      <c r="A4">
        <v>4</v>
      </c>
      <c r="B4">
        <v>2013</v>
      </c>
    </row>
    <row r="5" spans="1:2" x14ac:dyDescent="0.35">
      <c r="A5">
        <v>5</v>
      </c>
      <c r="B5">
        <v>2014</v>
      </c>
    </row>
    <row r="6" spans="1:2" x14ac:dyDescent="0.35">
      <c r="A6">
        <v>6</v>
      </c>
      <c r="B6">
        <v>2015</v>
      </c>
    </row>
    <row r="7" spans="1:2" x14ac:dyDescent="0.35">
      <c r="A7">
        <v>7</v>
      </c>
      <c r="B7">
        <v>2016</v>
      </c>
    </row>
    <row r="8" spans="1:2" x14ac:dyDescent="0.35">
      <c r="A8">
        <v>8</v>
      </c>
      <c r="B8">
        <v>2017</v>
      </c>
    </row>
    <row r="9" spans="1:2" x14ac:dyDescent="0.35">
      <c r="A9">
        <v>9</v>
      </c>
      <c r="B9">
        <v>2018</v>
      </c>
    </row>
    <row r="10" spans="1:2" x14ac:dyDescent="0.35">
      <c r="A10">
        <v>10</v>
      </c>
      <c r="B10">
        <v>2019</v>
      </c>
    </row>
    <row r="11" spans="1:2" x14ac:dyDescent="0.35">
      <c r="A11">
        <v>11</v>
      </c>
      <c r="B11">
        <v>2020</v>
      </c>
    </row>
    <row r="12" spans="1:2" x14ac:dyDescent="0.35">
      <c r="A12">
        <v>12</v>
      </c>
      <c r="B12">
        <v>2021</v>
      </c>
    </row>
    <row r="13" spans="1:2" x14ac:dyDescent="0.35">
      <c r="A13">
        <v>13</v>
      </c>
      <c r="B13">
        <v>2022</v>
      </c>
    </row>
    <row r="14" spans="1:2" x14ac:dyDescent="0.35">
      <c r="A14">
        <v>14</v>
      </c>
      <c r="B14">
        <v>2023</v>
      </c>
    </row>
    <row r="15" spans="1:2" x14ac:dyDescent="0.35">
      <c r="A15">
        <v>15</v>
      </c>
      <c r="B15">
        <v>2024</v>
      </c>
    </row>
    <row r="16" spans="1:2" x14ac:dyDescent="0.35">
      <c r="A16">
        <v>16</v>
      </c>
      <c r="B16">
        <v>2025</v>
      </c>
    </row>
    <row r="17" spans="1:2" x14ac:dyDescent="0.35">
      <c r="A17">
        <v>17</v>
      </c>
      <c r="B17">
        <v>2026</v>
      </c>
    </row>
    <row r="18" spans="1:2" x14ac:dyDescent="0.35">
      <c r="A18">
        <v>18</v>
      </c>
      <c r="B18">
        <v>2027</v>
      </c>
    </row>
    <row r="19" spans="1:2" x14ac:dyDescent="0.35">
      <c r="A19">
        <v>19</v>
      </c>
      <c r="B19">
        <v>2028</v>
      </c>
    </row>
    <row r="20" spans="1:2" x14ac:dyDescent="0.35">
      <c r="A20">
        <v>20</v>
      </c>
      <c r="B20">
        <v>2029</v>
      </c>
    </row>
    <row r="21" spans="1:2" x14ac:dyDescent="0.35">
      <c r="A21">
        <v>21</v>
      </c>
      <c r="B21">
        <v>2030</v>
      </c>
    </row>
    <row r="22" spans="1:2" x14ac:dyDescent="0.35">
      <c r="A22">
        <v>22</v>
      </c>
      <c r="B22">
        <v>2031</v>
      </c>
    </row>
    <row r="23" spans="1:2" x14ac:dyDescent="0.35">
      <c r="A23">
        <v>23</v>
      </c>
      <c r="B23">
        <v>2032</v>
      </c>
    </row>
    <row r="24" spans="1:2" x14ac:dyDescent="0.35">
      <c r="A24">
        <v>24</v>
      </c>
      <c r="B24">
        <v>2033</v>
      </c>
    </row>
    <row r="25" spans="1:2" x14ac:dyDescent="0.35">
      <c r="A25">
        <v>25</v>
      </c>
      <c r="B25">
        <v>2034</v>
      </c>
    </row>
    <row r="26" spans="1:2" x14ac:dyDescent="0.35">
      <c r="A26">
        <v>26</v>
      </c>
      <c r="B26">
        <v>2035</v>
      </c>
    </row>
    <row r="27" spans="1:2" x14ac:dyDescent="0.35">
      <c r="A27">
        <v>27</v>
      </c>
      <c r="B27">
        <v>2036</v>
      </c>
    </row>
    <row r="28" spans="1:2" x14ac:dyDescent="0.35">
      <c r="A28">
        <v>28</v>
      </c>
      <c r="B28">
        <v>2037</v>
      </c>
    </row>
    <row r="29" spans="1:2" x14ac:dyDescent="0.35">
      <c r="A29">
        <v>29</v>
      </c>
      <c r="B29">
        <v>2038</v>
      </c>
    </row>
    <row r="30" spans="1:2" x14ac:dyDescent="0.35">
      <c r="A30">
        <v>30</v>
      </c>
      <c r="B30">
        <v>2039</v>
      </c>
    </row>
    <row r="31" spans="1:2" x14ac:dyDescent="0.35">
      <c r="A31">
        <v>31</v>
      </c>
      <c r="B31">
        <v>2040</v>
      </c>
    </row>
    <row r="32" spans="1:2" x14ac:dyDescent="0.35">
      <c r="A32">
        <v>32</v>
      </c>
      <c r="B32">
        <v>2041</v>
      </c>
    </row>
    <row r="33" spans="1:2" x14ac:dyDescent="0.35">
      <c r="A33">
        <v>33</v>
      </c>
      <c r="B33">
        <v>2042</v>
      </c>
    </row>
    <row r="34" spans="1:2" x14ac:dyDescent="0.35">
      <c r="A34">
        <v>34</v>
      </c>
      <c r="B34">
        <v>2043</v>
      </c>
    </row>
    <row r="35" spans="1:2" x14ac:dyDescent="0.35">
      <c r="A35">
        <v>35</v>
      </c>
      <c r="B35">
        <v>2044</v>
      </c>
    </row>
    <row r="36" spans="1:2" x14ac:dyDescent="0.35">
      <c r="A36">
        <v>36</v>
      </c>
      <c r="B36">
        <v>2045</v>
      </c>
    </row>
    <row r="37" spans="1:2" x14ac:dyDescent="0.35">
      <c r="A37">
        <v>37</v>
      </c>
      <c r="B37">
        <v>2046</v>
      </c>
    </row>
    <row r="38" spans="1:2" x14ac:dyDescent="0.35">
      <c r="A38">
        <v>38</v>
      </c>
      <c r="B38">
        <v>2047</v>
      </c>
    </row>
    <row r="39" spans="1:2" x14ac:dyDescent="0.35">
      <c r="A39">
        <v>39</v>
      </c>
      <c r="B39">
        <v>2048</v>
      </c>
    </row>
    <row r="40" spans="1:2" x14ac:dyDescent="0.35">
      <c r="A40">
        <v>40</v>
      </c>
      <c r="B40">
        <v>2049</v>
      </c>
    </row>
    <row r="41" spans="1:2" x14ac:dyDescent="0.35">
      <c r="A41">
        <v>41</v>
      </c>
      <c r="B41">
        <v>2050</v>
      </c>
    </row>
    <row r="42" spans="1:2" x14ac:dyDescent="0.35">
      <c r="A42">
        <v>42</v>
      </c>
      <c r="B42">
        <v>2051</v>
      </c>
    </row>
    <row r="43" spans="1:2" x14ac:dyDescent="0.35">
      <c r="A43">
        <v>43</v>
      </c>
      <c r="B43">
        <v>2052</v>
      </c>
    </row>
    <row r="44" spans="1:2" x14ac:dyDescent="0.35">
      <c r="A44">
        <v>44</v>
      </c>
      <c r="B44">
        <v>2053</v>
      </c>
    </row>
    <row r="45" spans="1:2" x14ac:dyDescent="0.35">
      <c r="A45">
        <v>45</v>
      </c>
      <c r="B45">
        <v>2054</v>
      </c>
    </row>
    <row r="46" spans="1:2" x14ac:dyDescent="0.35">
      <c r="A46">
        <v>46</v>
      </c>
      <c r="B46">
        <v>2055</v>
      </c>
    </row>
    <row r="47" spans="1:2" x14ac:dyDescent="0.35">
      <c r="A47">
        <v>47</v>
      </c>
      <c r="B47">
        <v>2056</v>
      </c>
    </row>
    <row r="48" spans="1:2" x14ac:dyDescent="0.35">
      <c r="A48">
        <v>48</v>
      </c>
      <c r="B48">
        <v>2057</v>
      </c>
    </row>
    <row r="49" spans="1:2" x14ac:dyDescent="0.35">
      <c r="A49">
        <v>49</v>
      </c>
      <c r="B49">
        <v>2058</v>
      </c>
    </row>
    <row r="50" spans="1:2" x14ac:dyDescent="0.35">
      <c r="A50">
        <v>50</v>
      </c>
      <c r="B50">
        <v>2059</v>
      </c>
    </row>
    <row r="51" spans="1:2" x14ac:dyDescent="0.35">
      <c r="A51">
        <v>51</v>
      </c>
      <c r="B51">
        <v>2060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2023-09-25T22:55:52Z</dcterms:modified>
</cp:coreProperties>
</file>